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
    </mc:Choice>
  </mc:AlternateContent>
  <bookViews>
    <workbookView xWindow="0" yWindow="0" windowWidth="23040" windowHeight="8784" tabRatio="840" activeTab="5"/>
  </bookViews>
  <sheets>
    <sheet name="Excel_jumia" sheetId="1" r:id="rId1"/>
    <sheet name="Staging_Data" sheetId="2" r:id="rId2"/>
    <sheet name="Data Cleaning,Prep &amp; Enrichment" sheetId="3" r:id="rId3"/>
    <sheet name="Descriptive Analysis" sheetId="4" r:id="rId4"/>
    <sheet name="Trend &amp; Relationship Analysis" sheetId="5" r:id="rId5"/>
    <sheet name="Product Perfomance Analysis" sheetId="6" r:id="rId6"/>
    <sheet name="Dashboard" sheetId="7" r:id="rId7"/>
  </sheets>
  <definedNames>
    <definedName name="Slicer_Discount_Category">#N/A</definedName>
    <definedName name="Slicer_Rating_Category">#N/A</definedName>
  </definedNames>
  <calcPr calcId="162913"/>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C9" i="4" l="1"/>
  <c r="B9" i="4"/>
  <c r="C8" i="4"/>
  <c r="B8" i="4"/>
  <c r="B5" i="4"/>
  <c r="B4" i="4"/>
  <c r="B3" i="4"/>
  <c r="H117" i="2" l="1"/>
  <c r="E117" i="2"/>
  <c r="B117" i="2"/>
  <c r="C117" i="2"/>
  <c r="D2" i="2"/>
  <c r="F3" i="2" l="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2" i="2"/>
  <c r="D45" i="2"/>
  <c r="D61" i="2"/>
  <c r="D86" i="2"/>
  <c r="D87" i="2"/>
  <c r="D91" i="2"/>
  <c r="D98"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6" i="2"/>
  <c r="D47" i="2"/>
  <c r="D48" i="2"/>
  <c r="D49" i="2"/>
  <c r="D50" i="2"/>
  <c r="D51" i="2"/>
  <c r="D52" i="2"/>
  <c r="D53" i="2"/>
  <c r="D54" i="2"/>
  <c r="D55" i="2"/>
  <c r="D56" i="2"/>
  <c r="D57" i="2"/>
  <c r="D58" i="2"/>
  <c r="D59" i="2"/>
  <c r="D60" i="2"/>
  <c r="D62" i="2"/>
  <c r="D63" i="2"/>
  <c r="D64" i="2"/>
  <c r="D65" i="2"/>
  <c r="D66" i="2"/>
  <c r="D67" i="2"/>
  <c r="D68" i="2"/>
  <c r="D69" i="2"/>
  <c r="D70" i="2"/>
  <c r="D71" i="2"/>
  <c r="D72" i="2"/>
  <c r="D73" i="2"/>
  <c r="D74" i="2"/>
  <c r="D75" i="2"/>
  <c r="D76" i="2"/>
  <c r="D77" i="2"/>
  <c r="D78" i="2"/>
  <c r="D79" i="2"/>
  <c r="D80" i="2"/>
  <c r="D81" i="2"/>
  <c r="D82" i="2"/>
  <c r="D83" i="2"/>
  <c r="D84" i="2"/>
  <c r="D85" i="2"/>
  <c r="D88" i="2"/>
  <c r="D89" i="2"/>
  <c r="D90" i="2"/>
  <c r="D92" i="2"/>
  <c r="D93" i="2"/>
  <c r="D94" i="2"/>
  <c r="D95" i="2"/>
  <c r="D96" i="2"/>
  <c r="D97" i="2"/>
  <c r="D99" i="2"/>
  <c r="D100" i="2"/>
  <c r="D101" i="2"/>
  <c r="D102" i="2"/>
  <c r="D103" i="2"/>
  <c r="D104" i="2"/>
  <c r="D105" i="2"/>
  <c r="D106" i="2"/>
  <c r="D107" i="2"/>
  <c r="D108" i="2"/>
  <c r="D109" i="2"/>
  <c r="D110" i="2"/>
  <c r="D111" i="2"/>
  <c r="D112" i="2"/>
  <c r="D113" i="2"/>
  <c r="D114" i="2"/>
  <c r="D115" i="2"/>
  <c r="D116" i="2"/>
</calcChain>
</file>

<file path=xl/sharedStrings.xml><?xml version="1.0" encoding="utf-8"?>
<sst xmlns="http://schemas.openxmlformats.org/spreadsheetml/2006/main" count="653" uniqueCount="383">
  <si>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</si>
  <si>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</si>
  <si>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</si>
  <si>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</si>
  <si>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</si>
  <si>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</si>
  <si>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</si>
  <si>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</si>
  <si>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</si>
  <si>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</si>
  <si>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</si>
  <si>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</si>
  <si>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</si>
  <si>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</si>
  <si>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</si>
  <si>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</si>
  <si>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</si>
  <si>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</si>
  <si>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</si>
  <si>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</si>
  <si>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</si>
  <si>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</si>
  <si>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</si>
  <si>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</si>
  <si>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</si>
  <si>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</si>
  <si>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</si>
  <si>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</si>
  <si>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</si>
  <si>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</si>
  <si>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</si>
  <si>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</si>
  <si>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</si>
  <si>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</si>
  <si>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</si>
  <si>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</si>
  <si>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</si>
  <si>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</si>
  <si>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</si>
  <si>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</si>
  <si>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</si>
  <si>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</si>
  <si>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</si>
  <si>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</si>
  <si>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</si>
  <si>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</si>
  <si>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</si>
  <si>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</si>
  <si>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</si>
  <si>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</si>
  <si>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</si>
  <si>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</si>
  <si>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</si>
  <si>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</si>
  <si>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</si>
  <si>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</si>
  <si>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</si>
  <si>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</si>
  <si>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</si>
  <si>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</si>
  <si>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</si>
  <si>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</si>
  <si>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</si>
  <si>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</si>
  <si>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</si>
  <si>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</si>
  <si>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</si>
  <si>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</si>
  <si>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</si>
  <si>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</si>
  <si>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</si>
  <si>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</si>
  <si>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</si>
  <si>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</si>
  <si>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</si>
  <si>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</si>
  <si>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</si>
  <si>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</si>
  <si>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</si>
  <si>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</si>
  <si>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</si>
  <si>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</si>
  <si>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</si>
  <si>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</si>
  <si>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</si>
  <si>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</si>
  <si>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</si>
  <si>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</si>
  <si>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</si>
  <si>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</si>
  <si>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</si>
  <si>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</si>
  <si>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</si>
  <si>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</si>
  <si>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</si>
  <si>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</si>
  <si>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</si>
  <si>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</si>
  <si>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</si>
  <si>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</si>
  <si>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</si>
  <si>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</si>
  <si>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</si>
  <si>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</si>
  <si>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</si>
  <si>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</si>
  <si>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</si>
  <si>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</si>
  <si>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</si>
  <si>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</si>
  <si>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</si>
  <si>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</si>
  <si>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</si>
  <si>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</si>
  <si>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</si>
  <si>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</si>
  <si>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</si>
  <si>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</si>
  <si>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</si>
  <si>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</si>
  <si>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</si>
  <si>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</si>
  <si>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</si>
  <si>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</si>
  <si>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</si>
  <si>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</si>
  <si>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</si>
  <si>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</si>
  <si>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</si>
  <si>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</si>
  <si>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</si>
  <si>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</si>
  <si>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</si>
  <si>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</si>
  <si>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</si>
  <si>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</si>
  <si>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</si>
  <si>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</si>
  <si>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</si>
  <si>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</si>
  <si>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</si>
  <si>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</si>
  <si>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</si>
  <si>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</si>
  <si>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</si>
  <si>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</si>
  <si>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</si>
  <si>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</si>
  <si>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</si>
  <si>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</si>
  <si>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</si>
  <si>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</si>
  <si>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</si>
  <si>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</si>
  <si>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</si>
  <si>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</si>
  <si>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</si>
  <si>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</si>
  <si>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</si>
  <si>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</si>
  <si>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</si>
  <si>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</si>
  <si>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</si>
  <si>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</si>
  <si>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</si>
  <si>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</si>
  <si>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</si>
  <si>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</si>
  <si>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</si>
  <si>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</si>
  <si>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</si>
  <si>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</si>
  <si>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</si>
  <si>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</si>
  <si>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</si>
  <si>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</si>
  <si>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</si>
  <si>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</si>
  <si>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</si>
  <si>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</si>
  <si>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</si>
  <si>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</si>
  <si>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</si>
  <si>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</si>
  <si>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</si>
  <si>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</si>
  <si>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</si>
  <si>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</si>
  <si>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</si>
  <si>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</si>
  <si>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</si>
  <si>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</si>
  <si>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</si>
  <si>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</si>
  <si>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</si>
  <si>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</si>
  <si>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</si>
  <si>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</si>
  <si>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</si>
  <si>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</si>
  <si>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</si>
  <si>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</si>
  <si>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</si>
  <si>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</si>
  <si>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</si>
  <si>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</si>
  <si>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</si>
  <si>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</si>
  <si>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</si>
  <si>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</si>
  <si>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</si>
  <si>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</si>
  <si>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</si>
  <si>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</si>
  <si>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</si>
  <si>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</si>
  <si>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</si>
  <si>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</si>
  <si>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</si>
  <si>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</si>
  <si>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</si>
  <si>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</si>
  <si>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</si>
  <si>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</si>
  <si>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</si>
  <si>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</si>
  <si>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</si>
  <si>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</si>
  <si>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</si>
  <si>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</si>
  <si>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</si>
  <si>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</si>
  <si>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</si>
  <si>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</si>
  <si>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</si>
  <si>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</si>
  <si>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</si>
  <si>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</si>
  <si>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</si>
  <si>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</si>
  <si>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</si>
  <si>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</si>
  <si>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</si>
  <si>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</si>
  <si>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</si>
  <si>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</si>
  <si>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</si>
  <si>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</si>
  <si>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</si>
  <si>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</si>
  <si>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</si>
  <si>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</si>
  <si>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</si>
  <si>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</si>
  <si>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</si>
  <si>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</si>
  <si>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</si>
  <si>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</si>
  <si>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</si>
  <si>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</si>
  <si>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</si>
  <si>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</si>
  <si>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</si>
  <si>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</si>
  <si>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</si>
  <si>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</si>
  <si>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</si>
  <si>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</si>
  <si>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</si>
  <si>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</si>
  <si>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</si>
  <si>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</si>
  <si>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</si>
  <si>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</si>
  <si>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</si>
  <si>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</si>
  <si>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</si>
  <si>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</si>
  <si>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</si>
  <si>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</si>
  <si>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</si>
  <si>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</si>
  <si>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</si>
  <si>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</si>
  <si>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</si>
  <si>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</si>
  <si>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</si>
  <si>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</si>
  <si>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</si>
  <si>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</si>
  <si>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</si>
  <si>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</si>
  <si>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</si>
  <si>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</si>
  <si>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</si>
  <si>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</si>
  <si>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</si>
  <si>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</si>
  <si>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</si>
  <si>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</si>
  <si>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</si>
  <si>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</si>
  <si>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</si>
  <si>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</si>
  <si>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</si>
  <si>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</si>
  <si>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</si>
  <si>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</si>
  <si>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</si>
  <si>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</si>
  <si>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</si>
  <si>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</si>
  <si>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</si>
  <si>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</si>
  <si>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</si>
  <si>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</si>
  <si>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</si>
  <si>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</si>
  <si>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</si>
  <si>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</si>
  <si>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</si>
  <si>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</si>
  <si>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</si>
  <si>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Rating</t>
  </si>
  <si>
    <t>Old price</t>
  </si>
  <si>
    <t>Discount Amount</t>
  </si>
  <si>
    <t>Rating Category</t>
  </si>
  <si>
    <t>Discount Category</t>
  </si>
  <si>
    <t>I had blanks in the rating column, so I filled them with the column's average.</t>
  </si>
  <si>
    <t>The review column had negatives, so I used the Find &amp; Replace function to change the negatives to positives.</t>
  </si>
  <si>
    <t xml:space="preserve"> Which product is the most expensive and which is the least expensive?</t>
  </si>
  <si>
    <t xml:space="preserve"> What is the average rating and discount by discount category?</t>
  </si>
  <si>
    <t xml:space="preserve"> How are products distributed across rating categories?</t>
  </si>
  <si>
    <t>Row Labels</t>
  </si>
  <si>
    <t>Grand Total</t>
  </si>
  <si>
    <t>Average of Discount</t>
  </si>
  <si>
    <t>Average of Rating</t>
  </si>
  <si>
    <t>Max of Discount</t>
  </si>
  <si>
    <t>The top 10 products with the highest discounts</t>
  </si>
  <si>
    <t>The top 10 products with the most reviews</t>
  </si>
  <si>
    <t>Count of Review</t>
  </si>
  <si>
    <t>Max of Review</t>
  </si>
  <si>
    <t>The top 5 highest-rated and bottom 5 lowest-rated products</t>
  </si>
  <si>
    <t>Max of Rating</t>
  </si>
  <si>
    <t>Top 5 High-rated Products</t>
  </si>
  <si>
    <t>Bottom 5 Lowest-rated Products</t>
  </si>
  <si>
    <t>Min of Rating</t>
  </si>
  <si>
    <t>A comparison between high-discount and low-discount products based on average rating and number of reviews</t>
  </si>
  <si>
    <t>High</t>
  </si>
  <si>
    <t>Low</t>
  </si>
  <si>
    <t>Medium</t>
  </si>
  <si>
    <t>Low-discounted products are highly rated with fewer reviews, while the highly discounted products are low-rated with a high number of reviews.</t>
  </si>
  <si>
    <t>The relationship between discount percentage and number of reviews</t>
  </si>
  <si>
    <t xml:space="preserve"> The relationship between rating and number of reviews</t>
  </si>
  <si>
    <t>Average</t>
  </si>
  <si>
    <t>Excellent</t>
  </si>
  <si>
    <t>Poor</t>
  </si>
  <si>
    <r>
      <t xml:space="preserve"> Whether higher discounts lead to increased customer engagement. </t>
    </r>
    <r>
      <rPr>
        <sz val="11"/>
        <color theme="4"/>
        <rFont val="Calibri"/>
        <family val="2"/>
        <scheme val="minor"/>
      </rPr>
      <t>YES</t>
    </r>
  </si>
  <si>
    <r>
      <t xml:space="preserve"> Whether higher-rated products tend to have more reviews. </t>
    </r>
    <r>
      <rPr>
        <sz val="11"/>
        <color theme="4"/>
        <rFont val="Calibri"/>
        <family val="2"/>
        <scheme val="minor"/>
      </rPr>
      <t>NO</t>
    </r>
  </si>
  <si>
    <t>Descriptive Analysis</t>
  </si>
  <si>
    <t>What is the average current price, old price, discount percentage, and rating?</t>
  </si>
  <si>
    <t>Average Current Price</t>
  </si>
  <si>
    <t>Average Old Price</t>
  </si>
  <si>
    <t>Average Rating</t>
  </si>
  <si>
    <t>Most Expensive</t>
  </si>
  <si>
    <t>Least Expensive</t>
  </si>
  <si>
    <t>Count of Product</t>
  </si>
  <si>
    <t>Sum of Review</t>
  </si>
  <si>
    <t>Data Enrichment</t>
  </si>
  <si>
    <t>o Poor for ratings below 3</t>
  </si>
  <si>
    <t>o Average for ratings between 3 and 4.4</t>
  </si>
  <si>
    <t>o Excellent for ratings of 4.5 and above</t>
  </si>
  <si>
    <t>o Low Discount for discounts below 20%</t>
  </si>
  <si>
    <t>o Medium Discount for discounts between 20% and 40%</t>
  </si>
  <si>
    <t>o High Discount for discounts above 40%</t>
  </si>
  <si>
    <t>Data Cleaning &amp; Preparation</t>
  </si>
  <si>
    <t>Rating Category:</t>
  </si>
  <si>
    <t>I created the following additional columns:</t>
  </si>
  <si>
    <r>
      <rPr>
        <b/>
        <sz val="11"/>
        <color theme="1"/>
        <rFont val="Calibri"/>
        <family val="2"/>
        <scheme val="minor"/>
      </rPr>
      <t>Discount Amount (KSh)</t>
    </r>
    <r>
      <rPr>
        <sz val="11"/>
        <color theme="1"/>
        <rFont val="Calibri"/>
        <family val="2"/>
        <scheme val="minor"/>
      </rPr>
      <t>: Old Price minus Current Price</t>
    </r>
  </si>
  <si>
    <t>Discount Category:</t>
  </si>
  <si>
    <t xml:space="preserve">You can view the outcomes on the Staging_Data Tab </t>
  </si>
  <si>
    <t xml:space="preserve">An excellent rating has more number of reviews </t>
  </si>
  <si>
    <t>High discounts does not lead to a high number of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</si>
</sst>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name val="Calibri"/>
      <family val="2"/>
      <scheme val="minor"/>
    </font>
    <font>
      <b/>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14">
    <xf numFmtId="0" fontId="0" fillId="0" borderId="0" xfId="0"/>
    <xf numFmtId="9" fontId="0" fillId="0" borderId="0" xfId="0" applyNumberFormat="1"/>
    <xf numFmtId="0" fontId="16" fillId="0" borderId="0" xfId="0" applyFont="1"/>
    <xf numFmtId="4" fontId="16" fillId="0" borderId="0" xfId="0" applyNumberFormat="1" applyFont="1"/>
    <xf numFmtId="4" fontId="0" fillId="0" borderId="0" xfId="0" applyNumberFormat="1"/>
    <xf numFmtId="9" fontId="16" fillId="0" borderId="0" xfId="0" applyNumberFormat="1" applyFont="1"/>
    <xf numFmtId="9" fontId="0" fillId="0" borderId="0" xfId="42" applyFont="1"/>
    <xf numFmtId="0" fontId="0" fillId="0" borderId="0" xfId="0" pivotButton="1"/>
    <xf numFmtId="0" fontId="0" fillId="0" borderId="0" xfId="0" applyAlignment="1">
      <alignment horizontal="left"/>
    </xf>
    <xf numFmtId="10" fontId="0" fillId="0" borderId="0" xfId="0" applyNumberFormat="1"/>
    <xf numFmtId="0" fontId="0" fillId="0" borderId="0" xfId="0" applyNumberFormat="1"/>
    <xf numFmtId="0" fontId="16" fillId="0" borderId="0" xfId="0" applyFont="1" applyAlignment="1">
      <alignment horizontal="center"/>
    </xf>
    <xf numFmtId="0" fontId="19" fillId="0" borderId="0" xfId="0" applyFont="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
    <dxf>
      <numFmt numFmtId="14" formatCode="0.00%"/>
    </dxf>
    <dxf>
      <numFmt numFmtId="14" formatCode="0.00%"/>
    </dxf>
    <dxf>
      <font>
        <color rgb="FF00B050"/>
      </font>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[Excel_jumia.xlsx]Descriptive 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Products</a:t>
            </a:r>
            <a:r>
              <a:rPr lang="en-US" b="1" baseline="0"/>
              <a:t> by Rating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'Descriptive Analysis'!$B$23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68-42CA-AE56-F37B951857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68-42CA-AE56-F37B951857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68-42CA-AE56-F37B9518575D}"/>
              </c:ext>
            </c:extLst>
          </c:dPt>
          <c:cat>
            <c:strRef>
              <c:f>'Descriptive Analysis'!$A$24:$A$27</c:f>
              <c:strCache>
                <c:ptCount val="3"/>
                <c:pt idx="0">
                  <c:v>Average</c:v>
                </c:pt>
                <c:pt idx="1">
                  <c:v>Excellent</c:v>
                </c:pt>
                <c:pt idx="2">
                  <c:v>Poor</c:v>
                </c:pt>
              </c:strCache>
            </c:strRef>
          </c:cat>
          <c:val>
            <c:numRef>
              <c:f>'Descriptive Analysis'!$B$24:$B$27</c:f>
              <c:numCache>
                <c:formatCode>General</c:formatCode>
                <c:ptCount val="3"/>
                <c:pt idx="0">
                  <c:v>80</c:v>
                </c:pt>
                <c:pt idx="1">
                  <c:v>23</c:v>
                </c:pt>
                <c:pt idx="2">
                  <c:v>12</c:v>
                </c:pt>
              </c:numCache>
            </c:numRef>
          </c:val>
          <c:extLst>
            <c:ext xmlns:c16="http://schemas.microsoft.com/office/drawing/2014/chart" uri="{C3380CC4-5D6E-409C-BE32-E72D297353CC}">
              <c16:uniqueId val="{00000000-5F78-4A43-8479-07B61D870F6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[Excel_jumia.xlsx]Descriptive Analysis!PivotTable11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Products</a:t>
            </a:r>
            <a:r>
              <a:rPr lang="en-US" b="1" baseline="0"/>
              <a:t> by Discount Category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'Descriptive Analysis'!$B$35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F67-4596-876A-45263BDA810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F67-4596-876A-45263BDA810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F67-4596-876A-45263BDA810F}"/>
              </c:ext>
            </c:extLst>
          </c:dPt>
          <c:cat>
            <c:strRef>
              <c:f>'Descriptive Analysis'!$A$36:$A$39</c:f>
              <c:strCache>
                <c:ptCount val="3"/>
                <c:pt idx="0">
                  <c:v>High</c:v>
                </c:pt>
                <c:pt idx="1">
                  <c:v>Low</c:v>
                </c:pt>
                <c:pt idx="2">
                  <c:v>Medium</c:v>
                </c:pt>
              </c:strCache>
            </c:strRef>
          </c:cat>
          <c:val>
            <c:numRef>
              <c:f>'Descriptive Analysis'!$B$36:$B$39</c:f>
              <c:numCache>
                <c:formatCode>General</c:formatCode>
                <c:ptCount val="3"/>
                <c:pt idx="0">
                  <c:v>65</c:v>
                </c:pt>
                <c:pt idx="1">
                  <c:v>18</c:v>
                </c:pt>
                <c:pt idx="2">
                  <c:v>32</c:v>
                </c:pt>
              </c:numCache>
            </c:numRef>
          </c:val>
          <c:extLst>
            <c:ext xmlns:c16="http://schemas.microsoft.com/office/drawing/2014/chart" uri="{C3380CC4-5D6E-409C-BE32-E72D297353CC}">
              <c16:uniqueId val="{00000000-5239-4959-87D5-B429DCF3A6E3}"/>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[Excel_jumia.xlsx]Trend &amp; Relationship 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a:t>
            </a:r>
            <a:r>
              <a:rPr lang="en-US" b="1" baseline="0"/>
              <a:t> Vs Reviews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'Trend &amp; Relationship Analysis'!$B$2</c:f>
              <c:strCache>
                <c:ptCount val="1"/>
                <c:pt idx="0">
                  <c:v>Total</c:v>
                </c:pt>
              </c:strCache>
            </c:strRef>
          </c:tx>
          <c:spPr>
            <a:solidFill>
              <a:schemeClr val="accent1"/>
            </a:solidFill>
            <a:ln>
              <a:noFill/>
            </a:ln>
            <a:effectLst/>
          </c:spPr>
          <c:invertIfNegative val="0"/>
          <c:cat>
            <c:strRef>
              <c:f>'Trend &amp; Relationship Analysis'!$A$3:$A$6</c:f>
              <c:strCache>
                <c:ptCount val="3"/>
                <c:pt idx="0">
                  <c:v>High</c:v>
                </c:pt>
                <c:pt idx="1">
                  <c:v>Low</c:v>
                </c:pt>
                <c:pt idx="2">
                  <c:v>Medium</c:v>
                </c:pt>
              </c:strCache>
            </c:strRef>
          </c:cat>
          <c:val>
            <c:numRef>
              <c:f>'Trend &amp; Relationship Analysis'!$B$3:$B$6</c:f>
              <c:numCache>
                <c:formatCode>General</c:formatCode>
                <c:ptCount val="3"/>
                <c:pt idx="0">
                  <c:v>334</c:v>
                </c:pt>
                <c:pt idx="1">
                  <c:v>38</c:v>
                </c:pt>
                <c:pt idx="2">
                  <c:v>351</c:v>
                </c:pt>
              </c:numCache>
            </c:numRef>
          </c:val>
          <c:extLst>
            <c:ext xmlns:c16="http://schemas.microsoft.com/office/drawing/2014/chart" uri="{C3380CC4-5D6E-409C-BE32-E72D297353CC}">
              <c16:uniqueId val="{00000000-1C8D-47D6-8BA9-83FE77539724}"/>
            </c:ext>
          </c:extLst>
        </c:ser>
        <c:dLbls>
          <c:showLegendKey val="0"/>
          <c:showVal val="0"/>
          <c:showCatName val="0"/>
          <c:showSerName val="0"/>
          <c:showPercent val="0"/>
          <c:showBubbleSize val="0"/>
        </c:dLbls>
        <c:gapWidth val="219"/>
        <c:overlap val="-27"/>
        <c:axId val="1048611312"/>
        <c:axId val="1048625040"/>
      </c:barChart>
      <c:catAx>
        <c:axId val="104861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625040"/>
        <c:crosses val="autoZero"/>
        <c:auto val="1"/>
        <c:lblAlgn val="ctr"/>
        <c:lblOffset val="100"/>
        <c:noMultiLvlLbl val="0"/>
      </c:catAx>
      <c:valAx>
        <c:axId val="104862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611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[Excel_jumia.xlsx]Trend &amp; Relationship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Rating</a:t>
            </a:r>
            <a:r>
              <a:rPr lang="en-US" b="1" baseline="0"/>
              <a:t> Vs Reviews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'Trend &amp; Relationship Analysis'!$B$16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03-417A-B183-3E627A417C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03-417A-B183-3E627A417C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03-417A-B183-3E627A417CF7}"/>
              </c:ext>
            </c:extLst>
          </c:dPt>
          <c:cat>
            <c:strRef>
              <c:f>'Trend &amp; Relationship Analysis'!$A$17:$A$20</c:f>
              <c:strCache>
                <c:ptCount val="3"/>
                <c:pt idx="0">
                  <c:v>Average</c:v>
                </c:pt>
                <c:pt idx="1">
                  <c:v>Excellent</c:v>
                </c:pt>
                <c:pt idx="2">
                  <c:v>Poor</c:v>
                </c:pt>
              </c:strCache>
            </c:strRef>
          </c:cat>
          <c:val>
            <c:numRef>
              <c:f>'Trend &amp; Relationship Analysis'!$B$17:$B$20</c:f>
              <c:numCache>
                <c:formatCode>General</c:formatCode>
                <c:ptCount val="3"/>
                <c:pt idx="0">
                  <c:v>223</c:v>
                </c:pt>
                <c:pt idx="1">
                  <c:v>331</c:v>
                </c:pt>
                <c:pt idx="2">
                  <c:v>169</c:v>
                </c:pt>
              </c:numCache>
            </c:numRef>
          </c:val>
          <c:extLst>
            <c:ext xmlns:c16="http://schemas.microsoft.com/office/drawing/2014/chart" uri="{C3380CC4-5D6E-409C-BE32-E72D297353CC}">
              <c16:uniqueId val="{00000000-2BE0-4535-AB25-2BF9A7EFE08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[Excel_jumia.xlsx]Product Perfomance Analysis!PivotTable6</c:name>
    <c:fmtId val="0"/>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1"/>
          <c:order val="1"/>
          <c:tx>
            <c:strRef>
              <c:f>'Product Perfomance Analysis'!$C$58</c:f>
              <c:strCache>
                <c:ptCount val="1"/>
                <c:pt idx="0">
                  <c:v>Count of Review</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'Product Perfomance Analysis'!$A$59:$A$62</c:f>
              <c:strCache>
                <c:ptCount val="3"/>
                <c:pt idx="0">
                  <c:v>High</c:v>
                </c:pt>
                <c:pt idx="1">
                  <c:v>Low</c:v>
                </c:pt>
                <c:pt idx="2">
                  <c:v>Medium</c:v>
                </c:pt>
              </c:strCache>
            </c:strRef>
          </c:cat>
          <c:val>
            <c:numRef>
              <c:f>'Product Perfomance Analysis'!$C$59:$C$62</c:f>
              <c:numCache>
                <c:formatCode>General</c:formatCode>
                <c:ptCount val="3"/>
                <c:pt idx="0">
                  <c:v>65</c:v>
                </c:pt>
                <c:pt idx="1">
                  <c:v>18</c:v>
                </c:pt>
                <c:pt idx="2">
                  <c:v>32</c:v>
                </c:pt>
              </c:numCache>
            </c:numRef>
          </c:val>
          <c:smooth val="0"/>
          <c:extLst>
            <c:ext xmlns:c16="http://schemas.microsoft.com/office/drawing/2014/chart" uri="{C3380CC4-5D6E-409C-BE32-E72D297353CC}">
              <c16:uniqueId val="{00000001-CE75-4635-88AA-27D22374773B}"/>
            </c:ext>
          </c:extLst>
        </c:ser>
        <c:dLbls>
          <c:showLegendKey val="0"/>
          <c:showVal val="0"/>
          <c:showCatName val="0"/>
          <c:showSerName val="0"/>
          <c:showPercent val="0"/>
          <c:showBubbleSize val="0"/>
        </c:dLbls>
        <c:marker val="1"/>
        <c:smooth val="0"/>
        <c:axId val="1035066032"/>
        <c:axId val="1035064784"/>
      </c:lineChart>
      <c:lineChart>
        <c:grouping val="standard"/>
        <c:varyColors val="0"/>
        <c:ser>
          <c:idx val="0"/>
          <c:order val="0"/>
          <c:tx>
            <c:strRef>
              <c:f>'Product Perfomance Analysis'!$B$58</c:f>
              <c:strCache>
                <c:ptCount val="1"/>
                <c:pt idx="0">
                  <c:v>Average of Rating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'Product Perfomance Analysis'!$A$59:$A$62</c:f>
              <c:strCache>
                <c:ptCount val="3"/>
                <c:pt idx="0">
                  <c:v>High</c:v>
                </c:pt>
                <c:pt idx="1">
                  <c:v>Low</c:v>
                </c:pt>
                <c:pt idx="2">
                  <c:v>Medium</c:v>
                </c:pt>
              </c:strCache>
            </c:strRef>
          </c:cat>
          <c:val>
            <c:numRef>
              <c:f>'Product Perfomance Analysis'!$B$59:$B$62</c:f>
              <c:numCache>
                <c:formatCode>General</c:formatCode>
                <c:ptCount val="3"/>
                <c:pt idx="0">
                  <c:v>3.7623076923076875</c:v>
                </c:pt>
                <c:pt idx="1">
                  <c:v>3.8533333333333335</c:v>
                </c:pt>
                <c:pt idx="2">
                  <c:v>4.1690624999999999</c:v>
                </c:pt>
              </c:numCache>
            </c:numRef>
          </c:val>
          <c:smooth val="0"/>
          <c:extLst>
            <c:ext xmlns:c16="http://schemas.microsoft.com/office/drawing/2014/chart" uri="{C3380CC4-5D6E-409C-BE32-E72D297353CC}">
              <c16:uniqueId val="{00000000-CE75-4635-88AA-27D22374773B}"/>
            </c:ext>
          </c:extLst>
        </c:ser>
        <c:dLbls>
          <c:showLegendKey val="0"/>
          <c:showVal val="0"/>
          <c:showCatName val="0"/>
          <c:showSerName val="0"/>
          <c:showPercent val="0"/>
          <c:showBubbleSize val="0"/>
        </c:dLbls>
        <c:marker val="1"/>
        <c:smooth val="0"/>
        <c:axId val="1035055216"/>
        <c:axId val="1035067280"/>
      </c:lineChart>
      <c:catAx>
        <c:axId val="103506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64784"/>
        <c:crosses val="autoZero"/>
        <c:auto val="1"/>
        <c:lblAlgn val="ctr"/>
        <c:lblOffset val="100"/>
        <c:noMultiLvlLbl val="0"/>
      </c:catAx>
      <c:valAx>
        <c:axId val="103506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66032"/>
        <c:crosses val="autoZero"/>
        <c:crossBetween val="between"/>
      </c:valAx>
      <c:valAx>
        <c:axId val="10350672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055216"/>
        <c:crosses val="max"/>
        <c:crossBetween val="between"/>
      </c:valAx>
      <c:catAx>
        <c:axId val="1035055216"/>
        <c:scaling>
          <c:orientation val="minMax"/>
        </c:scaling>
        <c:delete val="1"/>
        <c:axPos val="b"/>
        <c:numFmt formatCode="General" sourceLinked="1"/>
        <c:majorTickMark val="out"/>
        <c:minorTickMark val="none"/>
        <c:tickLblPos val="nextTo"/>
        <c:crossAx val="1035067280"/>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[Excel_jumia.xlsx]Product Perfomance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a:t>
            </a:r>
            <a:r>
              <a:rPr lang="en-US" b="1" baseline="0"/>
              <a:t> Products by Rating</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'Product Perfomance Analysis'!$B$34</c:f>
              <c:strCache>
                <c:ptCount val="1"/>
                <c:pt idx="0">
                  <c:v>Total</c:v>
                </c:pt>
              </c:strCache>
            </c:strRef>
          </c:tx>
          <c:spPr>
            <a:solidFill>
              <a:schemeClr val="accent1"/>
            </a:solidFill>
            <a:ln>
              <a:noFill/>
            </a:ln>
            <a:effectLst/>
          </c:spPr>
          <c:invertIfNegative val="0"/>
          <c:cat>
            <c:strRef>
              <c:f>'Product Perfomance Analysis'!$A$35:$A$42</c:f>
              <c:strCache>
                <c:ptCount val="7"/>
                <c:pt idx="0">
                  <c:v>Anti-Skid Absorbent Insulation Coaster  For Home Office</c:v>
                </c:pt>
                <c:pt idx="1">
                  <c:v>Bedroom Simple Floor Hanging Clothes Rack Single Pole Hat Rack - White</c:v>
                </c:pt>
                <c:pt idx="2">
                  <c:v>Classic Black Cat Cotton Hemp Pillow Case For Home Car</c:v>
                </c:pt>
                <c:pt idx="3">
                  <c:v>DIY File Folder, Office Drawer File Holder, Pen Holder, Desktop Storage Rack</c:v>
                </c:pt>
                <c:pt idx="4">
                  <c:v>Konka Healty Electric Kettle, 24-hour Heat Preservation,1.5L,800W, White</c:v>
                </c:pt>
                <c:pt idx="5">
                  <c:v>LASA Aluminum Folding Truck Hand Cart - 68kg Max</c:v>
                </c:pt>
                <c:pt idx="6">
                  <c:v>Peacock  Throw Pillow Cushion Case For Home Car</c:v>
                </c:pt>
              </c:strCache>
            </c:strRef>
          </c:cat>
          <c:val>
            <c:numRef>
              <c:f>'Product Perfomance Analysis'!$B$35:$B$42</c:f>
              <c:numCache>
                <c:formatCode>General</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C800-4972-A00F-8D62BBC26918}"/>
            </c:ext>
          </c:extLst>
        </c:ser>
        <c:dLbls>
          <c:showLegendKey val="0"/>
          <c:showVal val="0"/>
          <c:showCatName val="0"/>
          <c:showSerName val="0"/>
          <c:showPercent val="0"/>
          <c:showBubbleSize val="0"/>
        </c:dLbls>
        <c:gapWidth val="182"/>
        <c:axId val="933607216"/>
        <c:axId val="933608880"/>
      </c:barChart>
      <c:catAx>
        <c:axId val="93360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608880"/>
        <c:crosses val="autoZero"/>
        <c:auto val="1"/>
        <c:lblAlgn val="ctr"/>
        <c:lblOffset val="100"/>
        <c:noMultiLvlLbl val="0"/>
      </c:catAx>
      <c:valAx>
        <c:axId val="933608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6072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[Excel_jumia.xlsx]Product Perfomance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Review</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'Product Perfomance Analysis'!$B$19</c:f>
              <c:strCache>
                <c:ptCount val="1"/>
                <c:pt idx="0">
                  <c:v>Total</c:v>
                </c:pt>
              </c:strCache>
            </c:strRef>
          </c:tx>
          <c:spPr>
            <a:solidFill>
              <a:schemeClr val="accent1"/>
            </a:solidFill>
            <a:ln>
              <a:noFill/>
            </a:ln>
            <a:effectLst/>
          </c:spPr>
          <c:invertIfNegative val="0"/>
          <c:cat>
            <c:strRef>
              <c:f>'Product Perfomance Analysis'!$A$20:$A$30</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'Product Perfomance Analysis'!$B$20:$B$30</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56FB-4D49-8576-0A7C7AB26F0A}"/>
            </c:ext>
          </c:extLst>
        </c:ser>
        <c:dLbls>
          <c:showLegendKey val="0"/>
          <c:showVal val="0"/>
          <c:showCatName val="0"/>
          <c:showSerName val="0"/>
          <c:showPercent val="0"/>
          <c:showBubbleSize val="0"/>
        </c:dLbls>
        <c:gapWidth val="219"/>
        <c:overlap val="-27"/>
        <c:axId val="1048618384"/>
        <c:axId val="887957024"/>
      </c:barChart>
      <c:catAx>
        <c:axId val="104861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957024"/>
        <c:crosses val="autoZero"/>
        <c:auto val="1"/>
        <c:lblAlgn val="ctr"/>
        <c:lblOffset val="100"/>
        <c:noMultiLvlLbl val="0"/>
      </c:catAx>
      <c:valAx>
        <c:axId val="88795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6183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[Excel_jumia.xlsx]Product Perfomance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Discount %</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'Product Perfomance Analysis'!$B$3</c:f>
              <c:strCache>
                <c:ptCount val="1"/>
                <c:pt idx="0">
                  <c:v>Total</c:v>
                </c:pt>
              </c:strCache>
            </c:strRef>
          </c:tx>
          <c:spPr>
            <a:solidFill>
              <a:schemeClr val="accent1"/>
            </a:solidFill>
            <a:ln>
              <a:noFill/>
            </a:ln>
            <a:effectLst/>
          </c:spPr>
          <c:invertIfNegative val="0"/>
          <c:cat>
            <c:strRef>
              <c:f>'Product Perfomance Analysis'!$A$4:$A$15</c:f>
              <c:strCache>
                <c:ptCount val="11"/>
                <c:pt idx="0">
                  <c:v>6 In 1 Bottle Can Opener Multifunctional Easy Opener</c:v>
                </c:pt>
                <c:pt idx="1">
                  <c:v>Creative Owl Shape Keychain Black</c:v>
                </c:pt>
                <c:pt idx="2">
                  <c:v>5-PCS Stainless Steel Cooking Pot Set With Steamed Slices</c:v>
                </c:pt>
                <c:pt idx="3">
                  <c:v>LASA FOLDING TABLE SERVING STAND</c:v>
                </c:pt>
                <c:pt idx="4">
                  <c:v>Simple Metal Dog Art Sculpture Decoration For Home Office</c:v>
                </c:pt>
                <c:pt idx="5">
                  <c:v>Mythco 120COB Solar Wall Ligt With Motion Sensor And Remote Control 3 Modes</c:v>
                </c:pt>
                <c:pt idx="6">
                  <c:v>LASA 3 Tier Bamboo Shoe Bench Storage Shelf</c:v>
                </c:pt>
                <c:pt idx="7">
                  <c:v>Classic Black Cat Cotton Hemp Pillow Case For Home Car</c:v>
                </c:pt>
                <c:pt idx="8">
                  <c:v>3PCS Single Head Knitting Crochet Sweater Needle Set</c:v>
                </c:pt>
                <c:pt idx="9">
                  <c:v>Intelligent  LED Body Sensor Wireless Lighting Night Light USB</c:v>
                </c:pt>
                <c:pt idx="10">
                  <c:v>Exfoliate And Exfoliate Face Towel - Black</c:v>
                </c:pt>
              </c:strCache>
            </c:strRef>
          </c:cat>
          <c:val>
            <c:numRef>
              <c:f>'Product Perfomance Analysis'!$B$4:$B$15</c:f>
              <c:numCache>
                <c:formatCode>0.00%</c:formatCode>
                <c:ptCount val="11"/>
                <c:pt idx="0">
                  <c:v>0.64</c:v>
                </c:pt>
                <c:pt idx="1">
                  <c:v>0.61</c:v>
                </c:pt>
                <c:pt idx="2">
                  <c:v>0.55000000000000004</c:v>
                </c:pt>
                <c:pt idx="3">
                  <c:v>0.55000000000000004</c:v>
                </c:pt>
                <c:pt idx="4">
                  <c:v>0.55000000000000004</c:v>
                </c:pt>
                <c:pt idx="5">
                  <c:v>0.54</c:v>
                </c:pt>
                <c:pt idx="6">
                  <c:v>0.54</c:v>
                </c:pt>
                <c:pt idx="7">
                  <c:v>0.53</c:v>
                </c:pt>
                <c:pt idx="8">
                  <c:v>0.53</c:v>
                </c:pt>
                <c:pt idx="9">
                  <c:v>0.52</c:v>
                </c:pt>
                <c:pt idx="10">
                  <c:v>0.52</c:v>
                </c:pt>
              </c:numCache>
            </c:numRef>
          </c:val>
          <c:extLst>
            <c:ext xmlns:c16="http://schemas.microsoft.com/office/drawing/2014/chart" uri="{C3380CC4-5D6E-409C-BE32-E72D297353CC}">
              <c16:uniqueId val="{00000000-69F7-499B-BEE6-85FCF260416E}"/>
            </c:ext>
          </c:extLst>
        </c:ser>
        <c:dLbls>
          <c:showLegendKey val="0"/>
          <c:showVal val="0"/>
          <c:showCatName val="0"/>
          <c:showSerName val="0"/>
          <c:showPercent val="0"/>
          <c:showBubbleSize val="0"/>
        </c:dLbls>
        <c:gapWidth val="219"/>
        <c:overlap val="-27"/>
        <c:axId val="1252285056"/>
        <c:axId val="1252291712"/>
      </c:barChart>
      <c:catAx>
        <c:axId val="125228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291712"/>
        <c:crosses val="autoZero"/>
        <c:auto val="1"/>
        <c:lblAlgn val="ctr"/>
        <c:lblOffset val="100"/>
        <c:noMultiLvlLbl val="0"/>
      </c:catAx>
      <c:valAx>
        <c:axId val="1252291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285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[Excel_jumia.xlsx]Product Perfomance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Discount %</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'Product Perfomance Analysis'!$B$3</c:f>
              <c:strCache>
                <c:ptCount val="1"/>
                <c:pt idx="0">
                  <c:v>Total</c:v>
                </c:pt>
              </c:strCache>
            </c:strRef>
          </c:tx>
          <c:spPr>
            <a:solidFill>
              <a:schemeClr val="accent1"/>
            </a:solidFill>
            <a:ln>
              <a:noFill/>
            </a:ln>
            <a:effectLst/>
          </c:spPr>
          <c:invertIfNegative val="0"/>
          <c:cat>
            <c:strRef>
              <c:f>'Product Perfomance Analysis'!$A$4:$A$15</c:f>
              <c:strCache>
                <c:ptCount val="11"/>
                <c:pt idx="0">
                  <c:v>6 In 1 Bottle Can Opener Multifunctional Easy Opener</c:v>
                </c:pt>
                <c:pt idx="1">
                  <c:v>Creative Owl Shape Keychain Black</c:v>
                </c:pt>
                <c:pt idx="2">
                  <c:v>5-PCS Stainless Steel Cooking Pot Set With Steamed Slices</c:v>
                </c:pt>
                <c:pt idx="3">
                  <c:v>LASA FOLDING TABLE SERVING STAND</c:v>
                </c:pt>
                <c:pt idx="4">
                  <c:v>Simple Metal Dog Art Sculpture Decoration For Home Office</c:v>
                </c:pt>
                <c:pt idx="5">
                  <c:v>Mythco 120COB Solar Wall Ligt With Motion Sensor And Remote Control 3 Modes</c:v>
                </c:pt>
                <c:pt idx="6">
                  <c:v>LASA 3 Tier Bamboo Shoe Bench Storage Shelf</c:v>
                </c:pt>
                <c:pt idx="7">
                  <c:v>Classic Black Cat Cotton Hemp Pillow Case For Home Car</c:v>
                </c:pt>
                <c:pt idx="8">
                  <c:v>3PCS Single Head Knitting Crochet Sweater Needle Set</c:v>
                </c:pt>
                <c:pt idx="9">
                  <c:v>Intelligent  LED Body Sensor Wireless Lighting Night Light USB</c:v>
                </c:pt>
                <c:pt idx="10">
                  <c:v>Exfoliate And Exfoliate Face Towel - Black</c:v>
                </c:pt>
              </c:strCache>
            </c:strRef>
          </c:cat>
          <c:val>
            <c:numRef>
              <c:f>'Product Perfomance Analysis'!$B$4:$B$15</c:f>
              <c:numCache>
                <c:formatCode>0.00%</c:formatCode>
                <c:ptCount val="11"/>
                <c:pt idx="0">
                  <c:v>0.64</c:v>
                </c:pt>
                <c:pt idx="1">
                  <c:v>0.61</c:v>
                </c:pt>
                <c:pt idx="2">
                  <c:v>0.55000000000000004</c:v>
                </c:pt>
                <c:pt idx="3">
                  <c:v>0.55000000000000004</c:v>
                </c:pt>
                <c:pt idx="4">
                  <c:v>0.55000000000000004</c:v>
                </c:pt>
                <c:pt idx="5">
                  <c:v>0.54</c:v>
                </c:pt>
                <c:pt idx="6">
                  <c:v>0.54</c:v>
                </c:pt>
                <c:pt idx="7">
                  <c:v>0.53</c:v>
                </c:pt>
                <c:pt idx="8">
                  <c:v>0.53</c:v>
                </c:pt>
                <c:pt idx="9">
                  <c:v>0.52</c:v>
                </c:pt>
                <c:pt idx="10">
                  <c:v>0.52</c:v>
                </c:pt>
              </c:numCache>
            </c:numRef>
          </c:val>
          <c:extLst>
            <c:ext xmlns:c16="http://schemas.microsoft.com/office/drawing/2014/chart" uri="{C3380CC4-5D6E-409C-BE32-E72D297353CC}">
              <c16:uniqueId val="{00000000-C970-4B8B-8DB9-BAD02C1484AF}"/>
            </c:ext>
          </c:extLst>
        </c:ser>
        <c:dLbls>
          <c:showLegendKey val="0"/>
          <c:showVal val="0"/>
          <c:showCatName val="0"/>
          <c:showSerName val="0"/>
          <c:showPercent val="0"/>
          <c:showBubbleSize val="0"/>
        </c:dLbls>
        <c:gapWidth val="219"/>
        <c:overlap val="-27"/>
        <c:axId val="1252285056"/>
        <c:axId val="1252291712"/>
      </c:barChart>
      <c:catAx>
        <c:axId val="125228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291712"/>
        <c:crosses val="autoZero"/>
        <c:auto val="1"/>
        <c:lblAlgn val="ctr"/>
        <c:lblOffset val="100"/>
        <c:noMultiLvlLbl val="0"/>
      </c:catAx>
      <c:valAx>
        <c:axId val="1252291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285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[Excel_jumia.xlsx]Product Perfomance 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Review</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'Product Perfomance Analysis'!$B$19</c:f>
              <c:strCache>
                <c:ptCount val="1"/>
                <c:pt idx="0">
                  <c:v>Total</c:v>
                </c:pt>
              </c:strCache>
            </c:strRef>
          </c:tx>
          <c:spPr>
            <a:solidFill>
              <a:schemeClr val="accent1"/>
            </a:solidFill>
            <a:ln>
              <a:noFill/>
            </a:ln>
            <a:effectLst/>
          </c:spPr>
          <c:invertIfNegative val="0"/>
          <c:cat>
            <c:strRef>
              <c:f>'Product Perfomance Analysis'!$A$20:$A$30</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'Product Perfomance Analysis'!$B$20:$B$30</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386E-4A6D-9A48-50ED28EF850C}"/>
            </c:ext>
          </c:extLst>
        </c:ser>
        <c:dLbls>
          <c:showLegendKey val="0"/>
          <c:showVal val="0"/>
          <c:showCatName val="0"/>
          <c:showSerName val="0"/>
          <c:showPercent val="0"/>
          <c:showBubbleSize val="0"/>
        </c:dLbls>
        <c:gapWidth val="219"/>
        <c:overlap val="-27"/>
        <c:axId val="1048618384"/>
        <c:axId val="887957024"/>
      </c:barChart>
      <c:catAx>
        <c:axId val="104861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957024"/>
        <c:crosses val="autoZero"/>
        <c:auto val="1"/>
        <c:lblAlgn val="ctr"/>
        <c:lblOffset val="100"/>
        <c:noMultiLvlLbl val="0"/>
      </c:catAx>
      <c:valAx>
        <c:axId val="88795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6183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[Excel_jumia.xlsx]Product Perfomance 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a:t>
            </a:r>
            <a:r>
              <a:rPr lang="en-US" b="1" baseline="0"/>
              <a:t> Products by Rating</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'Product Perfomance Analysis'!$B$34</c:f>
              <c:strCache>
                <c:ptCount val="1"/>
                <c:pt idx="0">
                  <c:v>Total</c:v>
                </c:pt>
              </c:strCache>
            </c:strRef>
          </c:tx>
          <c:spPr>
            <a:solidFill>
              <a:schemeClr val="accent1"/>
            </a:solidFill>
            <a:ln>
              <a:noFill/>
            </a:ln>
            <a:effectLst/>
          </c:spPr>
          <c:invertIfNegative val="0"/>
          <c:cat>
            <c:strRef>
              <c:f>'Product Perfomance Analysis'!$A$35:$A$42</c:f>
              <c:strCache>
                <c:ptCount val="7"/>
                <c:pt idx="0">
                  <c:v>Anti-Skid Absorbent Insulation Coaster  For Home Office</c:v>
                </c:pt>
                <c:pt idx="1">
                  <c:v>Bedroom Simple Floor Hanging Clothes Rack Single Pole Hat Rack - White</c:v>
                </c:pt>
                <c:pt idx="2">
                  <c:v>Classic Black Cat Cotton Hemp Pillow Case For Home Car</c:v>
                </c:pt>
                <c:pt idx="3">
                  <c:v>DIY File Folder, Office Drawer File Holder, Pen Holder, Desktop Storage Rack</c:v>
                </c:pt>
                <c:pt idx="4">
                  <c:v>Konka Healty Electric Kettle, 24-hour Heat Preservation,1.5L,800W, White</c:v>
                </c:pt>
                <c:pt idx="5">
                  <c:v>LASA Aluminum Folding Truck Hand Cart - 68kg Max</c:v>
                </c:pt>
                <c:pt idx="6">
                  <c:v>Peacock  Throw Pillow Cushion Case For Home Car</c:v>
                </c:pt>
              </c:strCache>
            </c:strRef>
          </c:cat>
          <c:val>
            <c:numRef>
              <c:f>'Product Perfomance Analysis'!$B$35:$B$42</c:f>
              <c:numCache>
                <c:formatCode>General</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9F75-4E9C-A540-32537E03FFAD}"/>
            </c:ext>
          </c:extLst>
        </c:ser>
        <c:dLbls>
          <c:showLegendKey val="0"/>
          <c:showVal val="0"/>
          <c:showCatName val="0"/>
          <c:showSerName val="0"/>
          <c:showPercent val="0"/>
          <c:showBubbleSize val="0"/>
        </c:dLbls>
        <c:gapWidth val="182"/>
        <c:axId val="933607216"/>
        <c:axId val="933608880"/>
      </c:barChart>
      <c:catAx>
        <c:axId val="93360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608880"/>
        <c:crosses val="autoZero"/>
        <c:auto val="1"/>
        <c:lblAlgn val="ctr"/>
        <c:lblOffset val="100"/>
        <c:noMultiLvlLbl val="0"/>
      </c:catAx>
      <c:valAx>
        <c:axId val="933608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6072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[Excel_jumia.xlsx]Trend &amp; Relationship 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a:t>
            </a:r>
            <a:r>
              <a:rPr lang="en-US" b="1" baseline="0"/>
              <a:t> Vs Reviews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'Trend &amp; Relationship Analysis'!$B$2</c:f>
              <c:strCache>
                <c:ptCount val="1"/>
                <c:pt idx="0">
                  <c:v>Total</c:v>
                </c:pt>
              </c:strCache>
            </c:strRef>
          </c:tx>
          <c:spPr>
            <a:solidFill>
              <a:schemeClr val="accent1"/>
            </a:solidFill>
            <a:ln>
              <a:noFill/>
            </a:ln>
            <a:effectLst/>
          </c:spPr>
          <c:invertIfNegative val="0"/>
          <c:cat>
            <c:strRef>
              <c:f>'Trend &amp; Relationship Analysis'!$A$3:$A$6</c:f>
              <c:strCache>
                <c:ptCount val="3"/>
                <c:pt idx="0">
                  <c:v>High</c:v>
                </c:pt>
                <c:pt idx="1">
                  <c:v>Low</c:v>
                </c:pt>
                <c:pt idx="2">
                  <c:v>Medium</c:v>
                </c:pt>
              </c:strCache>
            </c:strRef>
          </c:cat>
          <c:val>
            <c:numRef>
              <c:f>'Trend &amp; Relationship Analysis'!$B$3:$B$6</c:f>
              <c:numCache>
                <c:formatCode>General</c:formatCode>
                <c:ptCount val="3"/>
                <c:pt idx="0">
                  <c:v>334</c:v>
                </c:pt>
                <c:pt idx="1">
                  <c:v>38</c:v>
                </c:pt>
                <c:pt idx="2">
                  <c:v>351</c:v>
                </c:pt>
              </c:numCache>
            </c:numRef>
          </c:val>
          <c:extLst>
            <c:ext xmlns:c16="http://schemas.microsoft.com/office/drawing/2014/chart" uri="{C3380CC4-5D6E-409C-BE32-E72D297353CC}">
              <c16:uniqueId val="{00000000-C946-4441-A1A3-806AA23C2787}"/>
            </c:ext>
          </c:extLst>
        </c:ser>
        <c:dLbls>
          <c:showLegendKey val="0"/>
          <c:showVal val="0"/>
          <c:showCatName val="0"/>
          <c:showSerName val="0"/>
          <c:showPercent val="0"/>
          <c:showBubbleSize val="0"/>
        </c:dLbls>
        <c:gapWidth val="219"/>
        <c:overlap val="-27"/>
        <c:axId val="1048611312"/>
        <c:axId val="1048625040"/>
      </c:barChart>
      <c:catAx>
        <c:axId val="104861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625040"/>
        <c:crosses val="autoZero"/>
        <c:auto val="1"/>
        <c:lblAlgn val="ctr"/>
        <c:lblOffset val="100"/>
        <c:noMultiLvlLbl val="0"/>
      </c:catAx>
      <c:valAx>
        <c:axId val="104862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611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[Excel_jumia.xlsx]Trend &amp; Relationship Analysis!PivotTable8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Rating</a:t>
            </a:r>
            <a:r>
              <a:rPr lang="en-US" b="1" baseline="0"/>
              <a:t> Vs Reviews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'Trend &amp; Relationship Analysis'!$B$16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94-41A0-B7AE-AAC7EA8936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94-41A0-B7AE-AAC7EA8936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94-41A0-B7AE-AAC7EA8936E1}"/>
              </c:ext>
            </c:extLst>
          </c:dPt>
          <c:cat>
            <c:strRef>
              <c:f>'Trend &amp; Relationship Analysis'!$A$17:$A$20</c:f>
              <c:strCache>
                <c:ptCount val="3"/>
                <c:pt idx="0">
                  <c:v>Average</c:v>
                </c:pt>
                <c:pt idx="1">
                  <c:v>Excellent</c:v>
                </c:pt>
                <c:pt idx="2">
                  <c:v>Poor</c:v>
                </c:pt>
              </c:strCache>
            </c:strRef>
          </c:cat>
          <c:val>
            <c:numRef>
              <c:f>'Trend &amp; Relationship Analysis'!$B$17:$B$20</c:f>
              <c:numCache>
                <c:formatCode>General</c:formatCode>
                <c:ptCount val="3"/>
                <c:pt idx="0">
                  <c:v>223</c:v>
                </c:pt>
                <c:pt idx="1">
                  <c:v>331</c:v>
                </c:pt>
                <c:pt idx="2">
                  <c:v>169</c:v>
                </c:pt>
              </c:numCache>
            </c:numRef>
          </c:val>
          <c:extLst>
            <c:ext xmlns:c16="http://schemas.microsoft.com/office/drawing/2014/chart" uri="{C3380CC4-5D6E-409C-BE32-E72D297353CC}">
              <c16:uniqueId val="{00000006-D794-41A0-B7AE-AAC7EA8936E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[Excel_jumia.xlsx]Descriptive Analysis!PivotTable10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Products</a:t>
            </a:r>
            <a:r>
              <a:rPr lang="en-US" b="1" baseline="0"/>
              <a:t> by Rating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'Descriptive Analysis'!$B$23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D5-4B8C-AFB5-2627E5CF0D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D5-4B8C-AFB5-2627E5CF0D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D5-4B8C-AFB5-2627E5CF0D62}"/>
              </c:ext>
            </c:extLst>
          </c:dPt>
          <c:cat>
            <c:strRef>
              <c:f>'Descriptive Analysis'!$A$24:$A$27</c:f>
              <c:strCache>
                <c:ptCount val="3"/>
                <c:pt idx="0">
                  <c:v>Average</c:v>
                </c:pt>
                <c:pt idx="1">
                  <c:v>Excellent</c:v>
                </c:pt>
                <c:pt idx="2">
                  <c:v>Poor</c:v>
                </c:pt>
              </c:strCache>
            </c:strRef>
          </c:cat>
          <c:val>
            <c:numRef>
              <c:f>'Descriptive Analysis'!$B$24:$B$27</c:f>
              <c:numCache>
                <c:formatCode>General</c:formatCode>
                <c:ptCount val="3"/>
                <c:pt idx="0">
                  <c:v>80</c:v>
                </c:pt>
                <c:pt idx="1">
                  <c:v>23</c:v>
                </c:pt>
                <c:pt idx="2">
                  <c:v>12</c:v>
                </c:pt>
              </c:numCache>
            </c:numRef>
          </c:val>
          <c:extLst>
            <c:ext xmlns:c16="http://schemas.microsoft.com/office/drawing/2014/chart" uri="{C3380CC4-5D6E-409C-BE32-E72D297353CC}">
              <c16:uniqueId val="{00000006-1BD5-4B8C-AFB5-2627E5CF0D6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[Excel_jumia.xlsx]Descriptive Analysis!PivotTable11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Products</a:t>
            </a:r>
            <a:r>
              <a:rPr lang="en-US" b="1" baseline="0"/>
              <a:t> by Discount Category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'Descriptive Analysis'!$B$35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F5A-4A62-9988-73EFF991918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F5A-4A62-9988-73EFF991918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F5A-4A62-9988-73EFF991918E}"/>
              </c:ext>
            </c:extLst>
          </c:dPt>
          <c:cat>
            <c:strRef>
              <c:f>'Descriptive Analysis'!$A$36:$A$39</c:f>
              <c:strCache>
                <c:ptCount val="3"/>
                <c:pt idx="0">
                  <c:v>High</c:v>
                </c:pt>
                <c:pt idx="1">
                  <c:v>Low</c:v>
                </c:pt>
                <c:pt idx="2">
                  <c:v>Medium</c:v>
                </c:pt>
              </c:strCache>
            </c:strRef>
          </c:cat>
          <c:val>
            <c:numRef>
              <c:f>'Descriptive Analysis'!$B$36:$B$39</c:f>
              <c:numCache>
                <c:formatCode>General</c:formatCode>
                <c:ptCount val="3"/>
                <c:pt idx="0">
                  <c:v>65</c:v>
                </c:pt>
                <c:pt idx="1">
                  <c:v>18</c:v>
                </c:pt>
                <c:pt idx="2">
                  <c:v>32</c:v>
                </c:pt>
              </c:numCache>
            </c:numRef>
          </c:val>
          <c:extLst>
            <c:ext xmlns:c16="http://schemas.microsoft.com/office/drawing/2014/chart" uri="{C3380CC4-5D6E-409C-BE32-E72D297353CC}">
              <c16:uniqueId val="{00000006-0F5A-4A62-9988-73EFF991918E}"/>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1226820</xdr:colOff>
      <xdr:row>20</xdr:row>
      <xdr:rowOff>167640</xdr:rowOff>
    </xdr:from>
    <xdr:to>
      <xdr:col>8</xdr:col>
      <xdr:colOff>579120</xdr:colOff>
      <xdr:row>31</xdr:row>
      <xdr:rowOff>118110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1203960</xdr:colOff>
      <xdr:row>33</xdr:row>
      <xdr:rowOff>45720</xdr:rowOff>
    </xdr:from>
    <xdr:to>
      <xdr:col>9</xdr:col>
      <xdr:colOff>15240</xdr:colOff>
      <xdr:row>46</xdr:row>
      <xdr:rowOff>7620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571500</xdr:colOff>
      <xdr:row>0</xdr:row>
      <xdr:rowOff>156210</xdr:rowOff>
    </xdr:from>
    <xdr:to>
      <xdr:col>8</xdr:col>
      <xdr:colOff>525780</xdr:colOff>
      <xdr:row>13</xdr:row>
      <xdr:rowOff>60960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579120</xdr:colOff>
      <xdr:row>14</xdr:row>
      <xdr:rowOff>156210</xdr:rowOff>
    </xdr:from>
    <xdr:to>
      <xdr:col>8</xdr:col>
      <xdr:colOff>518160</xdr:colOff>
      <xdr:row>26</xdr:row>
      <xdr:rowOff>167640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24</xdr:row>
      <xdr:rowOff>121920</xdr:rowOff>
    </xdr:from>
    <xdr:to>
      <xdr:col>12</xdr:col>
      <xdr:colOff>0</xdr:colOff>
      <xdr:row>38</xdr:row>
      <xdr:rowOff>28575</xdr:rowOff>
    </xdr:to>
    <mc:AlternateContent xmlns:mc="http://schemas.openxmlformats.org/markup-compatibility/2006" xmlns:a14="http://schemas.microsoft.com/office/drawing/2010/main">
      <mc:Choice Requires="a14">
        <xdr:graphicFrame macro="">
          <xdr:nvGraphicFramePr>
            <xdr:cNvPr id="5" name="Discount Category"/>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6477000" y="45110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xdr:colOff>
      <xdr:row>24</xdr:row>
      <xdr:rowOff>114300</xdr:rowOff>
    </xdr:from>
    <xdr:to>
      <xdr:col>15</xdr:col>
      <xdr:colOff>7620</xdr:colOff>
      <xdr:row>38</xdr:row>
      <xdr:rowOff>20955</xdr:rowOff>
    </xdr:to>
    <mc:AlternateContent xmlns:mc="http://schemas.openxmlformats.org/markup-compatibility/2006" xmlns:a14="http://schemas.microsoft.com/office/drawing/2010/main">
      <mc:Choice Requires="a14">
        <xdr:graphicFrame macro="">
          <xdr:nvGraphicFramePr>
            <xdr:cNvPr id="6" name="Rating Category"/>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8313420" y="4503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205740</xdr:colOff>
      <xdr:row>56</xdr:row>
      <xdr:rowOff>26670</xdr:rowOff>
    </xdr:from>
    <xdr:to>
      <xdr:col>10</xdr:col>
      <xdr:colOff>457200</xdr:colOff>
      <xdr:row>67</xdr:row>
      <xdr:rowOff>68580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30</xdr:row>
      <xdr:rowOff>175260</xdr:rowOff>
    </xdr:from>
    <xdr:to>
      <xdr:col>9</xdr:col>
      <xdr:colOff>0</xdr:colOff>
      <xdr:row>45</xdr:row>
      <xdr:rowOff>34290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xdr:colOff>
      <xdr:row>16</xdr:row>
      <xdr:rowOff>0</xdr:rowOff>
    </xdr:from>
    <xdr:to>
      <xdr:col>8</xdr:col>
      <xdr:colOff>541020</xdr:colOff>
      <xdr:row>30</xdr:row>
      <xdr:rowOff>15240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30480</xdr:colOff>
      <xdr:row>0</xdr:row>
      <xdr:rowOff>156210</xdr:rowOff>
    </xdr:from>
    <xdr:to>
      <xdr:col>8</xdr:col>
      <xdr:colOff>533400</xdr:colOff>
      <xdr:row>15</xdr:row>
      <xdr:rowOff>156210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358140</xdr:colOff>
      <xdr:row>0</xdr:row>
      <xdr:rowOff>129540</xdr:rowOff>
    </xdr:from>
    <xdr:to>
      <xdr:col>16</xdr:col>
      <xdr:colOff>99060</xdr:colOff>
      <xdr:row>3</xdr:row>
      <xdr:rowOff>68580</xdr:rowOff>
    </xdr:to>
    <xdr:sp macro="" textlink="">
      <xdr:nvSpPr>
        <xdr:cNvPr id="2" name="Rounded Rectangle 1"/>
        <xdr:cNvSpPr/>
      </xdr:nvSpPr>
      <xdr:spPr>
        <a:xfrm>
          <a:off x="1577340" y="129540"/>
          <a:ext cx="8275320" cy="4876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tx1"/>
              </a:solidFill>
            </a:rPr>
            <a:t>Jumia Product Perfomance Dashboard</a:t>
          </a:r>
        </a:p>
      </xdr:txBody>
    </xdr:sp>
    <xdr:clientData/>
  </xdr:twoCellAnchor>
  <xdr:twoCellAnchor>
    <xdr:from>
      <xdr:col>2</xdr:col>
      <xdr:colOff>350520</xdr:colOff>
      <xdr:row>4</xdr:row>
      <xdr:rowOff>38100</xdr:rowOff>
    </xdr:from>
    <xdr:to>
      <xdr:col>5</xdr:col>
      <xdr:colOff>525780</xdr:colOff>
      <xdr:row>7</xdr:row>
      <xdr:rowOff>38100</xdr:rowOff>
    </xdr:to>
    <xdr:sp macro="" textlink="">
      <xdr:nvSpPr>
        <xdr:cNvPr id="3" name="Rounded Rectangle 2"/>
        <xdr:cNvSpPr/>
      </xdr:nvSpPr>
      <xdr:spPr>
        <a:xfrm>
          <a:off x="1569720" y="769620"/>
          <a:ext cx="2004060" cy="5486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rPr>
            <a:t>Total Products</a:t>
          </a:r>
        </a:p>
        <a:p>
          <a:pPr algn="ctr"/>
          <a:r>
            <a:rPr lang="en-US" sz="1100" b="1">
              <a:solidFill>
                <a:schemeClr val="tx1"/>
              </a:solidFill>
            </a:rPr>
            <a:t>115</a:t>
          </a:r>
        </a:p>
      </xdr:txBody>
    </xdr:sp>
    <xdr:clientData/>
  </xdr:twoCellAnchor>
  <xdr:twoCellAnchor>
    <xdr:from>
      <xdr:col>6</xdr:col>
      <xdr:colOff>99060</xdr:colOff>
      <xdr:row>4</xdr:row>
      <xdr:rowOff>30480</xdr:rowOff>
    </xdr:from>
    <xdr:to>
      <xdr:col>9</xdr:col>
      <xdr:colOff>251460</xdr:colOff>
      <xdr:row>7</xdr:row>
      <xdr:rowOff>53340</xdr:rowOff>
    </xdr:to>
    <xdr:sp macro="" textlink="">
      <xdr:nvSpPr>
        <xdr:cNvPr id="4" name="Rounded Rectangle 3"/>
        <xdr:cNvSpPr/>
      </xdr:nvSpPr>
      <xdr:spPr>
        <a:xfrm>
          <a:off x="3756660" y="762000"/>
          <a:ext cx="198120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rPr>
            <a:t>Average Rating</a:t>
          </a:r>
        </a:p>
        <a:p>
          <a:pPr algn="ctr"/>
          <a:r>
            <a:rPr lang="en-US" sz="1100" b="1">
              <a:solidFill>
                <a:schemeClr val="tx1"/>
              </a:solidFill>
            </a:rPr>
            <a:t>3.89</a:t>
          </a:r>
        </a:p>
      </xdr:txBody>
    </xdr:sp>
    <xdr:clientData/>
  </xdr:twoCellAnchor>
  <xdr:twoCellAnchor>
    <xdr:from>
      <xdr:col>9</xdr:col>
      <xdr:colOff>419100</xdr:colOff>
      <xdr:row>4</xdr:row>
      <xdr:rowOff>30480</xdr:rowOff>
    </xdr:from>
    <xdr:to>
      <xdr:col>12</xdr:col>
      <xdr:colOff>541020</xdr:colOff>
      <xdr:row>7</xdr:row>
      <xdr:rowOff>60960</xdr:rowOff>
    </xdr:to>
    <xdr:sp macro="" textlink="">
      <xdr:nvSpPr>
        <xdr:cNvPr id="5" name="Rounded Rectangle 4"/>
        <xdr:cNvSpPr/>
      </xdr:nvSpPr>
      <xdr:spPr>
        <a:xfrm>
          <a:off x="5905500" y="762000"/>
          <a:ext cx="1950720" cy="5791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rPr>
            <a:t>Average Discount Percentage</a:t>
          </a:r>
        </a:p>
        <a:p>
          <a:pPr algn="ctr"/>
          <a:r>
            <a:rPr lang="en-US" sz="1100" b="1">
              <a:solidFill>
                <a:schemeClr val="tx1"/>
              </a:solidFill>
            </a:rPr>
            <a:t>37%</a:t>
          </a:r>
        </a:p>
      </xdr:txBody>
    </xdr:sp>
    <xdr:clientData/>
  </xdr:twoCellAnchor>
  <xdr:twoCellAnchor>
    <xdr:from>
      <xdr:col>13</xdr:col>
      <xdr:colOff>15240</xdr:colOff>
      <xdr:row>4</xdr:row>
      <xdr:rowOff>15240</xdr:rowOff>
    </xdr:from>
    <xdr:to>
      <xdr:col>16</xdr:col>
      <xdr:colOff>76200</xdr:colOff>
      <xdr:row>7</xdr:row>
      <xdr:rowOff>45720</xdr:rowOff>
    </xdr:to>
    <xdr:sp macro="" textlink="">
      <xdr:nvSpPr>
        <xdr:cNvPr id="6" name="Rounded Rectangle 5"/>
        <xdr:cNvSpPr/>
      </xdr:nvSpPr>
      <xdr:spPr>
        <a:xfrm>
          <a:off x="7940040" y="746760"/>
          <a:ext cx="1889760" cy="5791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rPr>
            <a:t>Total Number of Reviews</a:t>
          </a:r>
        </a:p>
        <a:p>
          <a:pPr algn="ctr"/>
          <a:r>
            <a:rPr lang="en-US" sz="1100" b="1">
              <a:solidFill>
                <a:schemeClr val="tx1"/>
              </a:solidFill>
            </a:rPr>
            <a:t>723</a:t>
          </a:r>
        </a:p>
      </xdr:txBody>
    </xdr:sp>
    <xdr:clientData/>
  </xdr:twoCellAnchor>
  <xdr:twoCellAnchor editAs="oneCell">
    <xdr:from>
      <xdr:col>0</xdr:col>
      <xdr:colOff>0</xdr:colOff>
      <xdr:row>9</xdr:row>
      <xdr:rowOff>1</xdr:rowOff>
    </xdr:from>
    <xdr:to>
      <xdr:col>2</xdr:col>
      <xdr:colOff>335280</xdr:colOff>
      <xdr:row>15</xdr:row>
      <xdr:rowOff>129541</xdr:rowOff>
    </xdr:to>
    <mc:AlternateContent xmlns:mc="http://schemas.openxmlformats.org/markup-compatibility/2006" xmlns:a14="http://schemas.microsoft.com/office/drawing/2010/main">
      <mc:Choice Requires="a14">
        <xdr:graphicFrame macro="">
          <xdr:nvGraphicFramePr>
            <xdr:cNvPr id="8" name="Discount Category 1"/>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0" y="1645921"/>
              <a:ext cx="1554480"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xdr:rowOff>
    </xdr:from>
    <xdr:to>
      <xdr:col>2</xdr:col>
      <xdr:colOff>312420</xdr:colOff>
      <xdr:row>22</xdr:row>
      <xdr:rowOff>114301</xdr:rowOff>
    </xdr:to>
    <mc:AlternateContent xmlns:mc="http://schemas.openxmlformats.org/markup-compatibility/2006" xmlns:a14="http://schemas.microsoft.com/office/drawing/2010/main">
      <mc:Choice Requires="a14">
        <xdr:graphicFrame macro="">
          <xdr:nvGraphicFramePr>
            <xdr:cNvPr id="9" name="Rating Category 1"/>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0" y="2926081"/>
              <a:ext cx="1531620"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350520</xdr:colOff>
      <xdr:row>7</xdr:row>
      <xdr:rowOff>76200</xdr:rowOff>
    </xdr:from>
    <xdr:to>
      <xdr:col>10</xdr:col>
      <xdr:colOff>45720</xdr:colOff>
      <xdr:row>23</xdr:row>
      <xdr:rowOff>60960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335280</xdr:colOff>
      <xdr:row>23</xdr:row>
      <xdr:rowOff>53340</xdr:rowOff>
    </xdr:from>
    <xdr:to>
      <xdr:col>10</xdr:col>
      <xdr:colOff>30480</xdr:colOff>
      <xdr:row>37</xdr:row>
      <xdr:rowOff>144780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350520</xdr:colOff>
      <xdr:row>37</xdr:row>
      <xdr:rowOff>144780</xdr:rowOff>
    </xdr:from>
    <xdr:to>
      <xdr:col>10</xdr:col>
      <xdr:colOff>45720</xdr:colOff>
      <xdr:row>53</xdr:row>
      <xdr:rowOff>49530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45720</xdr:colOff>
      <xdr:row>7</xdr:row>
      <xdr:rowOff>76200</xdr:rowOff>
    </xdr:from>
    <xdr:to>
      <xdr:col>15</xdr:col>
      <xdr:colOff>586740</xdr:colOff>
      <xdr:row>18</xdr:row>
      <xdr:rowOff>30480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38100</xdr:colOff>
      <xdr:row>18</xdr:row>
      <xdr:rowOff>15240</xdr:rowOff>
    </xdr:from>
    <xdr:to>
      <xdr:col>15</xdr:col>
      <xdr:colOff>586740</xdr:colOff>
      <xdr:row>29</xdr:row>
      <xdr:rowOff>30480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38100</xdr:colOff>
      <xdr:row>29</xdr:row>
      <xdr:rowOff>38100</xdr:rowOff>
    </xdr:from>
    <xdr:to>
      <xdr:col>15</xdr:col>
      <xdr:colOff>601980</xdr:colOff>
      <xdr:row>42</xdr:row>
      <xdr:rowOff>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30480</xdr:colOff>
      <xdr:row>42</xdr:row>
      <xdr:rowOff>0</xdr:rowOff>
    </xdr:from>
    <xdr:to>
      <xdr:col>16</xdr:col>
      <xdr:colOff>7620</xdr:colOff>
      <xdr:row>53</xdr:row>
      <xdr:rowOff>53340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49.07213414352" createdVersion="6" refreshedVersion="6" minRefreshableVersion="3" recordCount="115">
  <cacheSource type="worksheet">
    <worksheetSource ref="A1:I116" sheet="Staging_Data"/>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4">
      <sharedItems containsSemiMixedTypes="0" containsString="0" containsNumber="1" containsInteger="1" minValue="38" maxValue="3750" count="103">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1800"/>
        <n v="2750"/>
        <n v="475"/>
        <n v="238"/>
        <n v="610"/>
        <n v="2132"/>
        <n v="999"/>
        <n v="1190"/>
        <n v="671"/>
        <n v="1200"/>
        <n v="199"/>
        <n v="299"/>
        <n v="1660"/>
        <n v="1459"/>
        <n v="499"/>
        <n v="699"/>
        <n v="2799"/>
        <n v="399"/>
        <n v="2170"/>
        <n v="458"/>
        <n v="2115"/>
        <n v="445"/>
        <n v="325"/>
        <n v="1220"/>
        <n v="1000"/>
        <n v="3750"/>
        <n v="382"/>
        <n v="2300"/>
        <n v="345"/>
        <n v="509"/>
        <n v="968"/>
        <n v="1570"/>
        <n v="790"/>
        <n v="690"/>
        <n v="1732"/>
        <n v="230"/>
        <n v="1189"/>
        <n v="979"/>
        <n v="1460"/>
        <n v="1666"/>
        <n v="330"/>
        <n v="176"/>
        <n v="1466"/>
        <n v="274"/>
        <n v="657"/>
        <n v="1468"/>
        <n v="630"/>
        <n v="850"/>
        <n v="1300"/>
        <n v="105"/>
        <n v="899"/>
        <n v="1526"/>
        <n v="1462"/>
        <n v="248"/>
        <n v="3546"/>
        <n v="525"/>
        <n v="1080"/>
        <n v="3640"/>
        <n v="1420"/>
        <n v="1875"/>
        <n v="198"/>
        <n v="1150"/>
        <n v="1658"/>
        <n v="1768"/>
        <n v="450"/>
        <n v="169"/>
      </sharedItems>
    </cacheField>
    <cacheField name="Old price" numFmtId="4">
      <sharedItems containsSemiMixedTypes="0" containsString="0" containsNumber="1" containsInteger="1" minValue="80" maxValue="6143"/>
    </cacheField>
    <cacheField name="Discount Amount" numFmtId="4">
      <sharedItems containsSemiMixedTypes="0" containsString="0" containsNumber="1" containsInteger="1" minValue="24" maxValue="2585"/>
    </cacheField>
    <cacheField name="Discount" numFmtId="9">
      <sharedItems containsSemiMixedTypes="0" containsString="0" containsNumber="1" minValue="0.01" maxValue="0.64"/>
    </cacheField>
    <cacheField name="Discount Category" numFmtId="9">
      <sharedItems count="3">
        <s v="Medium"/>
        <s v="High"/>
        <s v="Low"/>
      </sharedItems>
    </cacheField>
    <cacheField name="Review" numFmtId="0">
      <sharedItems containsSemiMixedTypes="0" containsString="0" containsNumber="1" containsInteger="1" minValue="0" maxValue="69" count="24">
        <n v="2"/>
        <n v="14"/>
        <n v="24"/>
        <n v="7"/>
        <n v="5"/>
        <n v="15"/>
        <n v="55"/>
        <n v="12"/>
        <n v="39"/>
        <n v="6"/>
        <n v="9"/>
        <n v="3"/>
        <n v="44"/>
        <n v="13"/>
        <n v="0"/>
        <n v="49"/>
        <n v="20"/>
        <n v="32"/>
        <n v="1"/>
        <n v="36"/>
        <n v="10"/>
        <n v="69"/>
        <n v="16"/>
        <n v="17"/>
      </sharedItems>
      <fieldGroup base="6">
        <rangePr startNum="0" endNum="69" groupInterval="10"/>
        <groupItems count="9">
          <s v="&lt;0"/>
          <s v="0-9"/>
          <s v="10-19"/>
          <s v="20-29"/>
          <s v="30-39"/>
          <s v="40-49"/>
          <s v="50-59"/>
          <s v="60-69"/>
          <s v="&gt;70"/>
        </groupItems>
      </fieldGroup>
    </cacheField>
    <cacheField name="Rating" numFmtId="0">
      <sharedItems containsSemiMixedTypes="0" containsString="0" containsNumber="1" minValue="2" maxValue="5"/>
    </cacheField>
    <cacheField name="Rating Category" numFmtId="0">
      <sharedItems count="3">
        <s v="Excellent"/>
        <s v="Average"/>
        <s v="Poo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5">
  <r>
    <x v="0"/>
    <x v="0"/>
    <n v="1525"/>
    <n v="575"/>
    <n v="0.38"/>
    <x v="0"/>
    <x v="0"/>
    <n v="4.5"/>
    <x v="0"/>
  </r>
  <r>
    <x v="1"/>
    <x v="1"/>
    <n v="999"/>
    <n v="472"/>
    <n v="0.47"/>
    <x v="1"/>
    <x v="1"/>
    <n v="4.0999999999999996"/>
    <x v="1"/>
  </r>
  <r>
    <x v="2"/>
    <x v="2"/>
    <n v="2923"/>
    <n v="724"/>
    <n v="0.25"/>
    <x v="0"/>
    <x v="2"/>
    <n v="4.5999999999999996"/>
    <x v="0"/>
  </r>
  <r>
    <x v="3"/>
    <x v="3"/>
    <n v="2499"/>
    <n v="919"/>
    <n v="0.37"/>
    <x v="0"/>
    <x v="3"/>
    <n v="4.7"/>
    <x v="0"/>
  </r>
  <r>
    <x v="4"/>
    <x v="4"/>
    <n v="2356"/>
    <n v="616"/>
    <n v="0.26"/>
    <x v="0"/>
    <x v="4"/>
    <n v="4.8"/>
    <x v="0"/>
  </r>
  <r>
    <x v="5"/>
    <x v="5"/>
    <n v="3290"/>
    <n v="291"/>
    <n v="0.09"/>
    <x v="2"/>
    <x v="5"/>
    <n v="4"/>
    <x v="1"/>
  </r>
  <r>
    <x v="6"/>
    <x v="6"/>
    <n v="3032"/>
    <n v="713"/>
    <n v="0.24"/>
    <x v="0"/>
    <x v="6"/>
    <n v="4.5999999999999996"/>
    <x v="0"/>
  </r>
  <r>
    <x v="7"/>
    <x v="7"/>
    <n v="1580"/>
    <n v="592"/>
    <n v="0.37"/>
    <x v="0"/>
    <x v="0"/>
    <n v="4"/>
    <x v="1"/>
  </r>
  <r>
    <x v="8"/>
    <x v="8"/>
    <n v="2800"/>
    <n v="1526"/>
    <n v="0.55000000000000004"/>
    <x v="1"/>
    <x v="4"/>
    <n v="4.8"/>
    <x v="0"/>
  </r>
  <r>
    <x v="9"/>
    <x v="9"/>
    <n v="2929"/>
    <n v="1329"/>
    <n v="0.45"/>
    <x v="1"/>
    <x v="4"/>
    <n v="3.8"/>
    <x v="1"/>
  </r>
  <r>
    <x v="10"/>
    <x v="10"/>
    <n v="999"/>
    <n v="200"/>
    <n v="0.2"/>
    <x v="0"/>
    <x v="7"/>
    <n v="4.0999999999999996"/>
    <x v="1"/>
  </r>
  <r>
    <x v="11"/>
    <x v="11"/>
    <n v="1500"/>
    <n v="510"/>
    <n v="0.34"/>
    <x v="0"/>
    <x v="8"/>
    <n v="4.7"/>
    <x v="0"/>
  </r>
  <r>
    <x v="12"/>
    <x v="12"/>
    <n v="1035"/>
    <n v="483"/>
    <n v="0.47"/>
    <x v="1"/>
    <x v="7"/>
    <n v="4.8"/>
    <x v="0"/>
  </r>
  <r>
    <x v="13"/>
    <x v="13"/>
    <n v="860"/>
    <n v="359"/>
    <n v="0.42"/>
    <x v="1"/>
    <x v="9"/>
    <n v="4.5"/>
    <x v="0"/>
  </r>
  <r>
    <x v="14"/>
    <x v="14"/>
    <n v="2499"/>
    <n v="819"/>
    <n v="0.33"/>
    <x v="0"/>
    <x v="10"/>
    <n v="4.2"/>
    <x v="1"/>
  </r>
  <r>
    <x v="15"/>
    <x v="15"/>
    <n v="684"/>
    <n v="352"/>
    <n v="0.51"/>
    <x v="1"/>
    <x v="0"/>
    <n v="5"/>
    <x v="0"/>
  </r>
  <r>
    <x v="16"/>
    <x v="16"/>
    <n v="360"/>
    <n v="165"/>
    <n v="0.46"/>
    <x v="1"/>
    <x v="0"/>
    <n v="5"/>
    <x v="0"/>
  </r>
  <r>
    <x v="17"/>
    <x v="17"/>
    <n v="3971"/>
    <n v="1946"/>
    <n v="0.49"/>
    <x v="1"/>
    <x v="11"/>
    <n v="5"/>
    <x v="0"/>
  </r>
  <r>
    <x v="18"/>
    <x v="5"/>
    <n v="3699"/>
    <n v="700"/>
    <n v="0.19"/>
    <x v="2"/>
    <x v="4"/>
    <n v="4.5999999999999996"/>
    <x v="0"/>
  </r>
  <r>
    <x v="19"/>
    <x v="18"/>
    <n v="1966"/>
    <n v="968"/>
    <n v="0.49"/>
    <x v="1"/>
    <x v="12"/>
    <n v="4.5999999999999996"/>
    <x v="0"/>
  </r>
  <r>
    <x v="20"/>
    <x v="19"/>
    <n v="80"/>
    <n v="42"/>
    <n v="0.53"/>
    <x v="1"/>
    <x v="13"/>
    <n v="3.3"/>
    <x v="1"/>
  </r>
  <r>
    <x v="21"/>
    <x v="20"/>
    <n v="3220"/>
    <n v="1360"/>
    <n v="0.42"/>
    <x v="1"/>
    <x v="14"/>
    <n v="3.89"/>
    <x v="1"/>
  </r>
  <r>
    <x v="22"/>
    <x v="21"/>
    <n v="1350"/>
    <n v="470"/>
    <n v="0.35"/>
    <x v="0"/>
    <x v="9"/>
    <n v="4"/>
    <x v="1"/>
  </r>
  <r>
    <x v="23"/>
    <x v="22"/>
    <n v="2150"/>
    <n v="500"/>
    <n v="0.23"/>
    <x v="0"/>
    <x v="1"/>
    <n v="4.4000000000000004"/>
    <x v="1"/>
  </r>
  <r>
    <x v="24"/>
    <x v="23"/>
    <n v="4500"/>
    <n v="2452"/>
    <n v="0.54"/>
    <x v="1"/>
    <x v="3"/>
    <n v="4.3"/>
    <x v="1"/>
  </r>
  <r>
    <x v="25"/>
    <x v="24"/>
    <n v="647"/>
    <n v="227"/>
    <n v="0.35"/>
    <x v="0"/>
    <x v="15"/>
    <n v="4.5999999999999996"/>
    <x v="0"/>
  </r>
  <r>
    <x v="26"/>
    <x v="25"/>
    <n v="3520"/>
    <n v="640"/>
    <n v="0.18"/>
    <x v="2"/>
    <x v="7"/>
    <n v="3.8"/>
    <x v="1"/>
  </r>
  <r>
    <x v="27"/>
    <x v="26"/>
    <n v="1990"/>
    <n v="640"/>
    <n v="0.32"/>
    <x v="0"/>
    <x v="13"/>
    <n v="3.8"/>
    <x v="1"/>
  </r>
  <r>
    <x v="28"/>
    <x v="27"/>
    <n v="2499"/>
    <n v="741"/>
    <n v="0.3"/>
    <x v="0"/>
    <x v="16"/>
    <n v="4.0999999999999996"/>
    <x v="1"/>
  </r>
  <r>
    <x v="29"/>
    <x v="28"/>
    <n v="4080"/>
    <n v="1880"/>
    <n v="0.46"/>
    <x v="1"/>
    <x v="14"/>
    <n v="3.89"/>
    <x v="1"/>
  </r>
  <r>
    <x v="30"/>
    <x v="29"/>
    <n v="382"/>
    <n v="197"/>
    <n v="0.52"/>
    <x v="1"/>
    <x v="10"/>
    <n v="4.3"/>
    <x v="1"/>
  </r>
  <r>
    <x v="31"/>
    <x v="30"/>
    <n v="1490"/>
    <n v="510"/>
    <n v="0.34"/>
    <x v="0"/>
    <x v="7"/>
    <n v="4.7"/>
    <x v="0"/>
  </r>
  <r>
    <x v="32"/>
    <x v="31"/>
    <n v="3490"/>
    <n v="1670"/>
    <n v="0.48"/>
    <x v="1"/>
    <x v="10"/>
    <n v="4.3"/>
    <x v="1"/>
  </r>
  <r>
    <x v="33"/>
    <x v="32"/>
    <n v="2650"/>
    <n v="710"/>
    <n v="0.27"/>
    <x v="0"/>
    <x v="16"/>
    <n v="4.7"/>
    <x v="0"/>
  </r>
  <r>
    <x v="34"/>
    <x v="33"/>
    <n v="2699"/>
    <n v="719"/>
    <n v="0.27"/>
    <x v="0"/>
    <x v="17"/>
    <n v="4.5"/>
    <x v="0"/>
  </r>
  <r>
    <x v="35"/>
    <x v="34"/>
    <n v="2690"/>
    <n v="1070"/>
    <n v="0.4"/>
    <x v="0"/>
    <x v="18"/>
    <n v="5"/>
    <x v="0"/>
  </r>
  <r>
    <x v="36"/>
    <x v="35"/>
    <n v="360"/>
    <n v="189"/>
    <n v="0.53"/>
    <x v="1"/>
    <x v="0"/>
    <n v="5"/>
    <x v="0"/>
  </r>
  <r>
    <x v="37"/>
    <x v="36"/>
    <n v="656"/>
    <n v="267"/>
    <n v="0.41"/>
    <x v="1"/>
    <x v="19"/>
    <n v="4.3"/>
    <x v="1"/>
  </r>
  <r>
    <x v="38"/>
    <x v="37"/>
    <n v="2700"/>
    <n v="900"/>
    <n v="0.38"/>
    <x v="0"/>
    <x v="0"/>
    <n v="4.5"/>
    <x v="0"/>
  </r>
  <r>
    <x v="39"/>
    <x v="38"/>
    <n v="4471"/>
    <n v="1721"/>
    <n v="0.38"/>
    <x v="0"/>
    <x v="14"/>
    <n v="3.89"/>
    <x v="1"/>
  </r>
  <r>
    <x v="40"/>
    <x v="39"/>
    <n v="931"/>
    <n v="456"/>
    <n v="0.49"/>
    <x v="1"/>
    <x v="14"/>
    <n v="3.89"/>
    <x v="1"/>
  </r>
  <r>
    <x v="41"/>
    <x v="40"/>
    <n v="476"/>
    <n v="238"/>
    <n v="0.5"/>
    <x v="1"/>
    <x v="14"/>
    <n v="3.89"/>
    <x v="1"/>
  </r>
  <r>
    <x v="42"/>
    <x v="41"/>
    <n v="1060"/>
    <n v="450"/>
    <n v="0.42"/>
    <x v="1"/>
    <x v="14"/>
    <n v="3.89"/>
    <x v="1"/>
  </r>
  <r>
    <x v="42"/>
    <x v="41"/>
    <n v="1060"/>
    <n v="450"/>
    <n v="0.42"/>
    <x v="1"/>
    <x v="14"/>
    <n v="3.89"/>
    <x v="1"/>
  </r>
  <r>
    <x v="43"/>
    <x v="42"/>
    <n v="2169"/>
    <n v="37"/>
    <n v="0.02"/>
    <x v="2"/>
    <x v="14"/>
    <n v="3.89"/>
    <x v="1"/>
  </r>
  <r>
    <x v="44"/>
    <x v="43"/>
    <n v="2000"/>
    <n v="1001"/>
    <n v="0.5"/>
    <x v="1"/>
    <x v="14"/>
    <n v="3.89"/>
    <x v="1"/>
  </r>
  <r>
    <x v="45"/>
    <x v="44"/>
    <n v="1785"/>
    <n v="595"/>
    <n v="0.33"/>
    <x v="0"/>
    <x v="14"/>
    <n v="3.89"/>
    <x v="1"/>
  </r>
  <r>
    <x v="46"/>
    <x v="45"/>
    <n v="1316"/>
    <n v="645"/>
    <n v="0.49"/>
    <x v="1"/>
    <x v="14"/>
    <n v="3.89"/>
    <x v="1"/>
  </r>
  <r>
    <x v="47"/>
    <x v="46"/>
    <n v="1950"/>
    <n v="750"/>
    <n v="0.38"/>
    <x v="0"/>
    <x v="14"/>
    <n v="3.89"/>
    <x v="1"/>
  </r>
  <r>
    <x v="48"/>
    <x v="47"/>
    <n v="504"/>
    <n v="305"/>
    <n v="0.61"/>
    <x v="1"/>
    <x v="14"/>
    <n v="3.89"/>
    <x v="1"/>
  </r>
  <r>
    <x v="49"/>
    <x v="48"/>
    <n v="600"/>
    <n v="301"/>
    <n v="0.5"/>
    <x v="1"/>
    <x v="14"/>
    <n v="3.89"/>
    <x v="1"/>
  </r>
  <r>
    <x v="50"/>
    <x v="49"/>
    <n v="1699"/>
    <n v="39"/>
    <n v="0.02"/>
    <x v="2"/>
    <x v="14"/>
    <n v="3.89"/>
    <x v="1"/>
  </r>
  <r>
    <x v="51"/>
    <x v="48"/>
    <n v="384"/>
    <n v="85"/>
    <n v="0.22"/>
    <x v="0"/>
    <x v="14"/>
    <n v="3.89"/>
    <x v="1"/>
  </r>
  <r>
    <x v="52"/>
    <x v="50"/>
    <n v="1499"/>
    <n v="40"/>
    <n v="0.03"/>
    <x v="2"/>
    <x v="14"/>
    <n v="3.89"/>
    <x v="1"/>
  </r>
  <r>
    <x v="53"/>
    <x v="10"/>
    <n v="1343"/>
    <n v="544"/>
    <n v="0.41"/>
    <x v="1"/>
    <x v="14"/>
    <n v="3.89"/>
    <x v="1"/>
  </r>
  <r>
    <x v="54"/>
    <x v="51"/>
    <n v="900"/>
    <n v="401"/>
    <n v="0.45"/>
    <x v="1"/>
    <x v="14"/>
    <n v="3.89"/>
    <x v="1"/>
  </r>
  <r>
    <x v="55"/>
    <x v="52"/>
    <n v="1343"/>
    <n v="644"/>
    <n v="0.48"/>
    <x v="1"/>
    <x v="14"/>
    <n v="3.89"/>
    <x v="1"/>
  </r>
  <r>
    <x v="56"/>
    <x v="10"/>
    <n v="1567"/>
    <n v="768"/>
    <n v="0.49"/>
    <x v="1"/>
    <x v="14"/>
    <n v="3.89"/>
    <x v="1"/>
  </r>
  <r>
    <x v="57"/>
    <x v="53"/>
    <n v="3810"/>
    <n v="1011"/>
    <n v="0.27"/>
    <x v="0"/>
    <x v="14"/>
    <n v="3.89"/>
    <x v="1"/>
  </r>
  <r>
    <x v="54"/>
    <x v="54"/>
    <n v="896"/>
    <n v="497"/>
    <n v="0.55000000000000004"/>
    <x v="1"/>
    <x v="14"/>
    <n v="3.89"/>
    <x v="1"/>
  </r>
  <r>
    <x v="58"/>
    <x v="55"/>
    <n v="2500"/>
    <n v="330"/>
    <n v="0.13"/>
    <x v="2"/>
    <x v="9"/>
    <n v="2.5"/>
    <x v="2"/>
  </r>
  <r>
    <x v="59"/>
    <x v="56"/>
    <n v="986"/>
    <n v="528"/>
    <n v="0.54"/>
    <x v="1"/>
    <x v="20"/>
    <n v="3"/>
    <x v="1"/>
  </r>
  <r>
    <x v="60"/>
    <x v="57"/>
    <n v="4700"/>
    <n v="2585"/>
    <n v="0.55000000000000004"/>
    <x v="1"/>
    <x v="13"/>
    <n v="2.1"/>
    <x v="2"/>
  </r>
  <r>
    <x v="61"/>
    <x v="58"/>
    <n v="873"/>
    <n v="428"/>
    <n v="0.49"/>
    <x v="1"/>
    <x v="21"/>
    <n v="2.8"/>
    <x v="2"/>
  </r>
  <r>
    <x v="62"/>
    <x v="59"/>
    <n v="680"/>
    <n v="355"/>
    <n v="0.52"/>
    <x v="1"/>
    <x v="5"/>
    <n v="2.7"/>
    <x v="2"/>
  </r>
  <r>
    <x v="63"/>
    <x v="60"/>
    <n v="1555"/>
    <n v="335"/>
    <n v="0.22"/>
    <x v="0"/>
    <x v="22"/>
    <n v="2.9"/>
    <x v="2"/>
  </r>
  <r>
    <x v="64"/>
    <x v="11"/>
    <n v="1814"/>
    <n v="824"/>
    <n v="0.45"/>
    <x v="1"/>
    <x v="9"/>
    <n v="2.2000000000000002"/>
    <x v="2"/>
  </r>
  <r>
    <x v="65"/>
    <x v="61"/>
    <n v="2000"/>
    <n v="1000"/>
    <n v="0.5"/>
    <x v="1"/>
    <x v="3"/>
    <n v="2.2999999999999998"/>
    <x v="2"/>
  </r>
  <r>
    <x v="66"/>
    <x v="62"/>
    <n v="6143"/>
    <n v="2393"/>
    <n v="0.39"/>
    <x v="0"/>
    <x v="4"/>
    <n v="3"/>
    <x v="1"/>
  </r>
  <r>
    <x v="67"/>
    <x v="63"/>
    <n v="700"/>
    <n v="318"/>
    <n v="0.45"/>
    <x v="1"/>
    <x v="23"/>
    <n v="2.6"/>
    <x v="2"/>
  </r>
  <r>
    <x v="68"/>
    <x v="64"/>
    <n v="3240"/>
    <n v="940"/>
    <n v="0.28999999999999998"/>
    <x v="0"/>
    <x v="4"/>
    <n v="3"/>
    <x v="1"/>
  </r>
  <r>
    <x v="69"/>
    <x v="65"/>
    <n v="602"/>
    <n v="257"/>
    <n v="0.43"/>
    <x v="1"/>
    <x v="9"/>
    <n v="2.2999999999999998"/>
    <x v="2"/>
  </r>
  <r>
    <x v="70"/>
    <x v="66"/>
    <n v="899"/>
    <n v="390"/>
    <n v="0.43"/>
    <x v="1"/>
    <x v="4"/>
    <n v="3"/>
    <x v="1"/>
  </r>
  <r>
    <x v="71"/>
    <x v="67"/>
    <n v="1814"/>
    <n v="846"/>
    <n v="0.47"/>
    <x v="1"/>
    <x v="9"/>
    <n v="2.2000000000000002"/>
    <x v="2"/>
  </r>
  <r>
    <x v="72"/>
    <x v="68"/>
    <n v="2988"/>
    <n v="1418"/>
    <n v="0.47"/>
    <x v="1"/>
    <x v="3"/>
    <n v="2.1"/>
    <x v="2"/>
  </r>
  <r>
    <x v="73"/>
    <x v="69"/>
    <n v="1485"/>
    <n v="695"/>
    <n v="0.47"/>
    <x v="1"/>
    <x v="14"/>
    <n v="3.89"/>
    <x v="1"/>
  </r>
  <r>
    <x v="74"/>
    <x v="70"/>
    <n v="1200"/>
    <n v="510"/>
    <n v="0.43"/>
    <x v="1"/>
    <x v="14"/>
    <n v="3.89"/>
    <x v="1"/>
  </r>
  <r>
    <x v="75"/>
    <x v="71"/>
    <n v="1799"/>
    <n v="67"/>
    <n v="0.04"/>
    <x v="2"/>
    <x v="14"/>
    <n v="3.89"/>
    <x v="1"/>
  </r>
  <r>
    <x v="76"/>
    <x v="72"/>
    <n v="450"/>
    <n v="220"/>
    <n v="0.49"/>
    <x v="1"/>
    <x v="14"/>
    <n v="3.89"/>
    <x v="1"/>
  </r>
  <r>
    <x v="77"/>
    <x v="73"/>
    <n v="2199"/>
    <n v="1010"/>
    <n v="0.46"/>
    <x v="1"/>
    <x v="18"/>
    <n v="3"/>
    <x v="1"/>
  </r>
  <r>
    <x v="78"/>
    <x v="74"/>
    <n v="1920"/>
    <n v="941"/>
    <n v="0.49"/>
    <x v="1"/>
    <x v="18"/>
    <n v="5"/>
    <x v="0"/>
  </r>
  <r>
    <x v="79"/>
    <x v="75"/>
    <n v="2290"/>
    <n v="830"/>
    <n v="0.36"/>
    <x v="0"/>
    <x v="14"/>
    <n v="3.89"/>
    <x v="1"/>
  </r>
  <r>
    <x v="80"/>
    <x v="76"/>
    <n v="1699"/>
    <n v="33"/>
    <n v="0.02"/>
    <x v="2"/>
    <x v="14"/>
    <n v="3.89"/>
    <x v="1"/>
  </r>
  <r>
    <x v="81"/>
    <x v="77"/>
    <n v="647"/>
    <n v="317"/>
    <n v="0.49"/>
    <x v="1"/>
    <x v="18"/>
    <n v="4"/>
    <x v="1"/>
  </r>
  <r>
    <x v="42"/>
    <x v="41"/>
    <n v="1060"/>
    <n v="450"/>
    <n v="0.42"/>
    <x v="1"/>
    <x v="14"/>
    <n v="3.89"/>
    <x v="1"/>
  </r>
  <r>
    <x v="48"/>
    <x v="78"/>
    <n v="345"/>
    <n v="169"/>
    <n v="0.49"/>
    <x v="1"/>
    <x v="14"/>
    <n v="3.89"/>
    <x v="1"/>
  </r>
  <r>
    <x v="82"/>
    <x v="79"/>
    <n v="1699"/>
    <n v="233"/>
    <n v="0.14000000000000001"/>
    <x v="2"/>
    <x v="14"/>
    <n v="3.89"/>
    <x v="1"/>
  </r>
  <r>
    <x v="83"/>
    <x v="80"/>
    <n v="537"/>
    <n v="263"/>
    <n v="0.49"/>
    <x v="1"/>
    <x v="14"/>
    <n v="3.89"/>
    <x v="1"/>
  </r>
  <r>
    <x v="84"/>
    <x v="10"/>
    <n v="900"/>
    <n v="101"/>
    <n v="0.11"/>
    <x v="2"/>
    <x v="14"/>
    <n v="3.89"/>
    <x v="1"/>
  </r>
  <r>
    <x v="56"/>
    <x v="81"/>
    <n v="1288"/>
    <n v="631"/>
    <n v="0.49"/>
    <x v="1"/>
    <x v="14"/>
    <n v="3.89"/>
    <x v="1"/>
  </r>
  <r>
    <x v="85"/>
    <x v="82"/>
    <n v="1699"/>
    <n v="231"/>
    <n v="0.14000000000000001"/>
    <x v="2"/>
    <x v="14"/>
    <n v="3.89"/>
    <x v="1"/>
  </r>
  <r>
    <x v="86"/>
    <x v="83"/>
    <n v="1100"/>
    <n v="470"/>
    <n v="0.43"/>
    <x v="1"/>
    <x v="14"/>
    <n v="3.89"/>
    <x v="1"/>
  </r>
  <r>
    <x v="87"/>
    <x v="84"/>
    <n v="1700"/>
    <n v="850"/>
    <n v="0.5"/>
    <x v="1"/>
    <x v="14"/>
    <n v="3.89"/>
    <x v="1"/>
  </r>
  <r>
    <x v="88"/>
    <x v="85"/>
    <n v="2500"/>
    <n v="1200"/>
    <n v="0.48"/>
    <x v="1"/>
    <x v="14"/>
    <n v="3.89"/>
    <x v="1"/>
  </r>
  <r>
    <x v="89"/>
    <x v="86"/>
    <n v="200"/>
    <n v="95"/>
    <n v="0.48"/>
    <x v="1"/>
    <x v="14"/>
    <n v="3.89"/>
    <x v="1"/>
  </r>
  <r>
    <x v="90"/>
    <x v="87"/>
    <n v="1699"/>
    <n v="800"/>
    <n v="0.47"/>
    <x v="1"/>
    <x v="14"/>
    <n v="3.89"/>
    <x v="1"/>
  </r>
  <r>
    <x v="90"/>
    <x v="87"/>
    <n v="1699"/>
    <n v="800"/>
    <n v="0.47"/>
    <x v="1"/>
    <x v="14"/>
    <n v="3.89"/>
    <x v="1"/>
  </r>
  <r>
    <x v="91"/>
    <x v="46"/>
    <n v="2400"/>
    <n v="1200"/>
    <n v="0.5"/>
    <x v="1"/>
    <x v="14"/>
    <n v="3.89"/>
    <x v="1"/>
  </r>
  <r>
    <x v="92"/>
    <x v="88"/>
    <n v="1660"/>
    <n v="134"/>
    <n v="0.08"/>
    <x v="2"/>
    <x v="14"/>
    <n v="3.89"/>
    <x v="1"/>
  </r>
  <r>
    <x v="93"/>
    <x v="89"/>
    <n v="1499"/>
    <n v="37"/>
    <n v="0.02"/>
    <x v="2"/>
    <x v="14"/>
    <n v="3.89"/>
    <x v="1"/>
  </r>
  <r>
    <x v="94"/>
    <x v="90"/>
    <n v="486"/>
    <n v="238"/>
    <n v="0.49"/>
    <x v="1"/>
    <x v="14"/>
    <n v="3.89"/>
    <x v="1"/>
  </r>
  <r>
    <x v="95"/>
    <x v="91"/>
    <n v="3699"/>
    <n v="153"/>
    <n v="0.04"/>
    <x v="2"/>
    <x v="14"/>
    <n v="3.89"/>
    <x v="1"/>
  </r>
  <r>
    <x v="96"/>
    <x v="92"/>
    <n v="1029"/>
    <n v="504"/>
    <n v="0.49"/>
    <x v="1"/>
    <x v="14"/>
    <n v="3.89"/>
    <x v="1"/>
  </r>
  <r>
    <x v="97"/>
    <x v="93"/>
    <n v="1874"/>
    <n v="794"/>
    <n v="0.42"/>
    <x v="1"/>
    <x v="14"/>
    <n v="3.89"/>
    <x v="1"/>
  </r>
  <r>
    <x v="98"/>
    <x v="94"/>
    <n v="4588"/>
    <n v="948"/>
    <n v="0.21"/>
    <x v="0"/>
    <x v="18"/>
    <n v="5"/>
    <x v="0"/>
  </r>
  <r>
    <x v="99"/>
    <x v="95"/>
    <n v="2420"/>
    <n v="1000"/>
    <n v="0.41"/>
    <x v="1"/>
    <x v="14"/>
    <n v="3.89"/>
    <x v="1"/>
  </r>
  <r>
    <x v="100"/>
    <x v="96"/>
    <n v="1899"/>
    <n v="24"/>
    <n v="0.01"/>
    <x v="2"/>
    <x v="14"/>
    <n v="3.89"/>
    <x v="1"/>
  </r>
  <r>
    <x v="101"/>
    <x v="97"/>
    <n v="260"/>
    <n v="62"/>
    <n v="0.24"/>
    <x v="0"/>
    <x v="14"/>
    <n v="3.89"/>
    <x v="1"/>
  </r>
  <r>
    <x v="102"/>
    <x v="98"/>
    <n v="1737"/>
    <n v="587"/>
    <n v="0.34"/>
    <x v="0"/>
    <x v="14"/>
    <n v="3.89"/>
    <x v="1"/>
  </r>
  <r>
    <x v="103"/>
    <x v="44"/>
    <n v="1810"/>
    <n v="620"/>
    <n v="0.34"/>
    <x v="0"/>
    <x v="14"/>
    <n v="3.89"/>
    <x v="1"/>
  </r>
  <r>
    <x v="104"/>
    <x v="99"/>
    <n v="1699"/>
    <n v="41"/>
    <n v="0.02"/>
    <x v="2"/>
    <x v="14"/>
    <n v="3.89"/>
    <x v="1"/>
  </r>
  <r>
    <x v="105"/>
    <x v="100"/>
    <n v="1799"/>
    <n v="31"/>
    <n v="0.02"/>
    <x v="2"/>
    <x v="14"/>
    <n v="3.89"/>
    <x v="1"/>
  </r>
  <r>
    <x v="106"/>
    <x v="47"/>
    <n v="553"/>
    <n v="354"/>
    <n v="0.64"/>
    <x v="1"/>
    <x v="14"/>
    <n v="3.89"/>
    <x v="1"/>
  </r>
  <r>
    <x v="107"/>
    <x v="101"/>
    <n v="900"/>
    <n v="450"/>
    <n v="0.5"/>
    <x v="1"/>
    <x v="18"/>
    <n v="2"/>
    <x v="2"/>
  </r>
  <r>
    <x v="108"/>
    <x v="102"/>
    <n v="320"/>
    <n v="151"/>
    <n v="0.47"/>
    <x v="1"/>
    <x v="14"/>
    <n v="3.8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Rating Category">
  <location ref="A23:B27" firstHeaderRow="1" firstDataRow="1" firstDataCol="1"/>
  <pivotFields count="9">
    <pivotField dataField="1" showAll="0"/>
    <pivotField numFmtId="4" showAll="0"/>
    <pivotField numFmtId="4" showAll="0"/>
    <pivotField numFmtId="4" showAll="0"/>
    <pivotField numFmtId="9" showAll="0"/>
    <pivotField showAll="0">
      <items count="4">
        <item x="1"/>
        <item x="2"/>
        <item x="0"/>
        <item t="default"/>
      </items>
    </pivotField>
    <pivotField showAll="0"/>
    <pivotField showAll="0"/>
    <pivotField axis="axisRow" showAll="0">
      <items count="4">
        <item x="1"/>
        <item x="0"/>
        <item x="2"/>
        <item t="default"/>
      </items>
    </pivotField>
  </pivotFields>
  <rowFields count="1">
    <field x="8"/>
  </rowFields>
  <rowItems count="4">
    <i>
      <x/>
    </i>
    <i>
      <x v="1"/>
    </i>
    <i>
      <x v="2"/>
    </i>
    <i t="grand">
      <x/>
    </i>
  </rowItems>
  <colItems count="1">
    <i/>
  </colItems>
  <dataFields count="1">
    <dataField name="Count of Product" fld="0" subtotal="count" baseField="0" baseItem="0"/>
  </dataFields>
  <chartFormats count="8">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8" count="1" selected="0">
            <x v="0"/>
          </reference>
        </references>
      </pivotArea>
    </chartFormat>
    <chartFormat chart="2" format="7">
      <pivotArea type="data" outline="0" fieldPosition="0">
        <references count="2">
          <reference field="4294967294" count="1" selected="0">
            <x v="0"/>
          </reference>
          <reference field="8" count="1" selected="0">
            <x v="1"/>
          </reference>
        </references>
      </pivotArea>
    </chartFormat>
    <chartFormat chart="2" format="8">
      <pivotArea type="data" outline="0" fieldPosition="0">
        <references count="2">
          <reference field="4294967294" count="1" selected="0">
            <x v="0"/>
          </reference>
          <reference field="8" count="1" selected="0">
            <x v="2"/>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iscount Category">
  <location ref="A15:C19" firstHeaderRow="0" firstDataRow="1" firstDataCol="1"/>
  <pivotFields count="9">
    <pivotField showAll="0"/>
    <pivotField numFmtId="4" showAll="0"/>
    <pivotField numFmtId="4" showAll="0"/>
    <pivotField numFmtId="4" showAll="0"/>
    <pivotField dataField="1" numFmtId="9" showAll="0"/>
    <pivotField axis="axisRow" showAll="0">
      <items count="4">
        <item x="1"/>
        <item x="2"/>
        <item x="0"/>
        <item t="default"/>
      </items>
    </pivotField>
    <pivotField showAll="0"/>
    <pivotField dataField="1" showAll="0"/>
    <pivotField showAll="0">
      <items count="4">
        <item x="1"/>
        <item x="0"/>
        <item x="2"/>
        <item t="default"/>
      </items>
    </pivotField>
  </pivotFields>
  <rowFields count="1">
    <field x="5"/>
  </rowFields>
  <rowItems count="4">
    <i>
      <x/>
    </i>
    <i>
      <x v="1"/>
    </i>
    <i>
      <x v="2"/>
    </i>
    <i t="grand">
      <x/>
    </i>
  </rowItems>
  <colFields count="1">
    <field x="-2"/>
  </colFields>
  <colItems count="2">
    <i>
      <x/>
    </i>
    <i i="1">
      <x v="1"/>
    </i>
  </colItems>
  <dataFields count="2">
    <dataField name="Average of Rating" fld="7" subtotal="average" baseField="5" baseItem="0"/>
    <dataField name="Average of Discount" fld="4" subtotal="average" baseField="5" baseItem="0" numFmtId="10"/>
  </dataFields>
  <formats count="1">
    <format dxfId="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iscount Category">
  <location ref="A35:B39" firstHeaderRow="1" firstDataRow="1" firstDataCol="1"/>
  <pivotFields count="9">
    <pivotField dataField="1" showAll="0"/>
    <pivotField numFmtId="4" showAll="0"/>
    <pivotField numFmtId="4" showAll="0"/>
    <pivotField numFmtId="4" showAll="0"/>
    <pivotField numFmtId="9" showAll="0"/>
    <pivotField axis="axisRow" showAll="0">
      <items count="4">
        <item x="1"/>
        <item x="2"/>
        <item x="0"/>
        <item t="default"/>
      </items>
    </pivotField>
    <pivotField showAll="0"/>
    <pivotField showAll="0"/>
    <pivotField showAll="0">
      <items count="4">
        <item x="1"/>
        <item x="0"/>
        <item x="2"/>
        <item t="default"/>
      </items>
    </pivotField>
  </pivotFields>
  <rowFields count="1">
    <field x="5"/>
  </rowFields>
  <rowItems count="4">
    <i>
      <x/>
    </i>
    <i>
      <x v="1"/>
    </i>
    <i>
      <x v="2"/>
    </i>
    <i t="grand">
      <x/>
    </i>
  </rowItems>
  <colItems count="1">
    <i/>
  </colItems>
  <dataFields count="1">
    <dataField name="Count of Product" fld="0" subtotal="count" baseField="0" baseItem="0"/>
  </dataFields>
  <chartFormats count="8">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Rating Category">
  <location ref="A16:B20" firstHeaderRow="1" firstDataRow="1" firstDataCol="1"/>
  <pivotFields count="9">
    <pivotField showAll="0"/>
    <pivotField numFmtId="4" showAll="0"/>
    <pivotField numFmtId="4" showAll="0"/>
    <pivotField numFmtId="4" showAll="0"/>
    <pivotField numFmtId="9" showAll="0"/>
    <pivotField showAll="0">
      <items count="4">
        <item x="1"/>
        <item x="2"/>
        <item x="0"/>
        <item t="default"/>
      </items>
    </pivotField>
    <pivotField dataField="1" showAll="0"/>
    <pivotField showAll="0"/>
    <pivotField axis="axisRow" showAll="0">
      <items count="4">
        <item x="1"/>
        <item x="0"/>
        <item x="2"/>
        <item t="default"/>
      </items>
    </pivotField>
  </pivotFields>
  <rowFields count="1">
    <field x="8"/>
  </rowFields>
  <rowItems count="4">
    <i>
      <x/>
    </i>
    <i>
      <x v="1"/>
    </i>
    <i>
      <x v="2"/>
    </i>
    <i t="grand">
      <x/>
    </i>
  </rowItems>
  <colItems count="1">
    <i/>
  </colItems>
  <dataFields count="1">
    <dataField name="Sum of Review" fld="6" baseField="8" baseItem="0"/>
  </dataFields>
  <chartFormats count="8">
    <chartFormat chart="0" format="1"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iscount Category">
  <location ref="A2:B6" firstHeaderRow="1" firstDataRow="1" firstDataCol="1"/>
  <pivotFields count="9">
    <pivotField showAll="0"/>
    <pivotField numFmtId="4" showAll="0"/>
    <pivotField numFmtId="4" showAll="0"/>
    <pivotField numFmtId="4" showAll="0"/>
    <pivotField numFmtId="9" showAll="0"/>
    <pivotField axis="axisRow" showAll="0">
      <items count="4">
        <item x="1"/>
        <item x="2"/>
        <item x="0"/>
        <item t="default"/>
      </items>
    </pivotField>
    <pivotField dataField="1" showAll="0"/>
    <pivotField showAll="0"/>
    <pivotField showAll="0">
      <items count="4">
        <item x="1"/>
        <item x="0"/>
        <item x="2"/>
        <item t="default"/>
      </items>
    </pivotField>
  </pivotFields>
  <rowFields count="1">
    <field x="5"/>
  </rowFields>
  <rowItems count="4">
    <i>
      <x/>
    </i>
    <i>
      <x v="1"/>
    </i>
    <i>
      <x v="2"/>
    </i>
    <i t="grand">
      <x/>
    </i>
  </rowItems>
  <colItems count="1">
    <i/>
  </colItems>
  <dataFields count="1">
    <dataField name="Sum of Review" fld="6" baseField="5"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Discount Category">
  <location ref="A58:C62" firstHeaderRow="0" firstDataRow="1" firstDataCol="1"/>
  <pivotFields count="9">
    <pivotField showAll="0"/>
    <pivotField numFmtId="4" showAll="0"/>
    <pivotField numFmtId="4" showAll="0"/>
    <pivotField numFmtId="4" showAll="0"/>
    <pivotField numFmtId="9" showAll="0"/>
    <pivotField axis="axisRow" showAll="0">
      <items count="4">
        <item x="1"/>
        <item x="2"/>
        <item x="0"/>
        <item t="default"/>
      </items>
    </pivotField>
    <pivotField dataField="1" showAll="0"/>
    <pivotField dataField="1" showAll="0"/>
    <pivotField showAll="0">
      <items count="4">
        <item x="1"/>
        <item x="0"/>
        <item x="2"/>
        <item t="default"/>
      </items>
    </pivotField>
  </pivotFields>
  <rowFields count="1">
    <field x="5"/>
  </rowFields>
  <rowItems count="4">
    <i>
      <x/>
    </i>
    <i>
      <x v="1"/>
    </i>
    <i>
      <x v="2"/>
    </i>
    <i t="grand">
      <x/>
    </i>
  </rowItems>
  <colFields count="1">
    <field x="-2"/>
  </colFields>
  <colItems count="2">
    <i>
      <x/>
    </i>
    <i i="1">
      <x v="1"/>
    </i>
  </colItems>
  <dataFields count="2">
    <dataField name="Average of Rating" fld="7" subtotal="average" baseField="5" baseItem="0"/>
    <dataField name="Count of Review" fld="6" subtotal="count" baseField="0" baseItem="0"/>
  </dataFields>
  <chartFormats count="2">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8:B54" firstHeaderRow="1" firstDataRow="1" firstDataCol="1"/>
  <pivotFields count="9">
    <pivotField axis="axisRow" showAll="0" measureFilter="1" sortType="a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4" showAll="0"/>
    <pivotField numFmtId="4" showAll="0"/>
    <pivotField numFmtId="4" showAll="0"/>
    <pivotField numFmtId="9" showAll="0"/>
    <pivotField showAll="0">
      <items count="4">
        <item x="1"/>
        <item x="2"/>
        <item x="0"/>
        <item t="default"/>
      </items>
    </pivotField>
    <pivotField showAll="0"/>
    <pivotField dataField="1" showAll="0"/>
    <pivotField showAll="0">
      <items count="4">
        <item x="1"/>
        <item x="0"/>
        <item x="2"/>
        <item t="default"/>
      </items>
    </pivotField>
  </pivotFields>
  <rowFields count="1">
    <field x="0"/>
  </rowFields>
  <rowItems count="6">
    <i>
      <x v="104"/>
    </i>
    <i>
      <x v="30"/>
    </i>
    <i>
      <x v="58"/>
    </i>
    <i>
      <x v="41"/>
    </i>
    <i>
      <x v="35"/>
    </i>
    <i t="grand">
      <x/>
    </i>
  </rowItems>
  <colItems count="1">
    <i/>
  </colItems>
  <dataFields count="1">
    <dataField name="Min of Rating" fld="7" subtotal="min" baseField="0" baseItem="0"/>
  </dataFields>
  <pivotTableStyleInfo name="PivotStyleLight16" showRowHeaders="1" showColHeaders="1" showRowStripes="0" showColStripes="0" showLastColumn="1"/>
  <filters count="1">
    <filter fld="0"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4:B42" firstHeaderRow="1" firstDataRow="1" firstDataCol="1"/>
  <pivotFields count="9">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4" showAll="0"/>
    <pivotField numFmtId="4" showAll="0"/>
    <pivotField numFmtId="4" showAll="0"/>
    <pivotField numFmtId="9" showAll="0"/>
    <pivotField showAll="0">
      <items count="4">
        <item x="1"/>
        <item x="2"/>
        <item x="0"/>
        <item t="default"/>
      </items>
    </pivotField>
    <pivotField showAll="0"/>
    <pivotField dataField="1" showAll="0"/>
    <pivotField showAll="0">
      <items count="4">
        <item x="1"/>
        <item x="0"/>
        <item x="2"/>
        <item t="default"/>
      </items>
    </pivotField>
  </pivotFields>
  <rowFields count="1">
    <field x="0"/>
  </rowFields>
  <rowItems count="8">
    <i>
      <x v="40"/>
    </i>
    <i>
      <x v="44"/>
    </i>
    <i>
      <x v="52"/>
    </i>
    <i>
      <x v="57"/>
    </i>
    <i>
      <x v="65"/>
    </i>
    <i>
      <x v="68"/>
    </i>
    <i>
      <x v="87"/>
    </i>
    <i t="grand">
      <x/>
    </i>
  </rowItems>
  <colItems count="1">
    <i/>
  </colItems>
  <dataFields count="1">
    <dataField name="Max of Rating" fld="7" subtotal="max"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9:B30"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4" showAll="0"/>
    <pivotField numFmtId="4" showAll="0"/>
    <pivotField numFmtId="4" showAll="0"/>
    <pivotField numFmtId="9" showAll="0"/>
    <pivotField showAll="0">
      <items count="4">
        <item x="1"/>
        <item x="2"/>
        <item x="0"/>
        <item t="default"/>
      </items>
    </pivotField>
    <pivotField dataField="1" showAll="0"/>
    <pivotField showAll="0"/>
    <pivotField showAll="0">
      <items count="4">
        <item x="1"/>
        <item x="0"/>
        <item x="2"/>
        <item t="default"/>
      </items>
    </pivotField>
  </pivotFields>
  <rowFields count="1">
    <field x="0"/>
  </rowFields>
  <rowItems count="11">
    <i>
      <x v="5"/>
    </i>
    <i>
      <x v="8"/>
    </i>
    <i>
      <x v="59"/>
    </i>
    <i>
      <x v="18"/>
    </i>
    <i>
      <x v="1"/>
    </i>
    <i>
      <x v="95"/>
    </i>
    <i>
      <x v="27"/>
    </i>
    <i>
      <x v="91"/>
    </i>
    <i>
      <x v="28"/>
    </i>
    <i>
      <x v="26"/>
    </i>
    <i t="grand">
      <x/>
    </i>
  </rowItems>
  <colItems count="1">
    <i/>
  </colItems>
  <dataFields count="1">
    <dataField name="Max of Review" fld="6" subtotal="max"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5"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4" showAll="0"/>
    <pivotField numFmtId="4" showAll="0"/>
    <pivotField numFmtId="4" showAll="0"/>
    <pivotField dataField="1" numFmtId="9" showAll="0"/>
    <pivotField showAll="0">
      <items count="4">
        <item x="1"/>
        <item x="2"/>
        <item x="0"/>
        <item t="default"/>
      </items>
    </pivotField>
    <pivotField showAll="0"/>
    <pivotField showAll="0"/>
    <pivotField showAll="0">
      <items count="4">
        <item x="1"/>
        <item x="0"/>
        <item x="2"/>
        <item t="default"/>
      </items>
    </pivotField>
  </pivotFields>
  <rowFields count="1">
    <field x="0"/>
  </rowFields>
  <rowItems count="12">
    <i>
      <x v="31"/>
    </i>
    <i>
      <x v="53"/>
    </i>
    <i>
      <x v="30"/>
    </i>
    <i>
      <x v="70"/>
    </i>
    <i>
      <x v="99"/>
    </i>
    <i>
      <x v="84"/>
    </i>
    <i>
      <x v="67"/>
    </i>
    <i>
      <x v="52"/>
    </i>
    <i>
      <x v="20"/>
    </i>
    <i>
      <x v="64"/>
    </i>
    <i>
      <x v="60"/>
    </i>
    <i t="grand">
      <x/>
    </i>
  </rowItems>
  <colItems count="1">
    <i/>
  </colItems>
  <dataFields count="1">
    <dataField name="Max of Discount" fld="4" subtotal="max" baseField="0" baseItem="0" numFmtId="10"/>
  </dataFields>
  <formats count="1">
    <format dxfId="0">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iscount_Category" sourceName="Discount Category">
  <pivotTables>
    <pivotTable tabId="5" name="PivotTable8"/>
    <pivotTable tabId="4" name="PivotTable10"/>
    <pivotTable tabId="4" name="PivotTable11"/>
    <pivotTable tabId="4" name="PivotTable9"/>
    <pivotTable tabId="6" name="PivotTable1"/>
    <pivotTable tabId="6" name="PivotTable2"/>
    <pivotTable tabId="6" name="PivotTable4"/>
    <pivotTable tabId="6" name="PivotTable5"/>
    <pivotTable tabId="6" name="PivotTable6"/>
    <pivotTable tabId="5" name="PivotTable7"/>
  </pivotTables>
  <data>
    <tabular pivotCacheId="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ating_Category" sourceName="Rating Category">
  <pivotTables>
    <pivotTable tabId="5" name="PivotTable8"/>
    <pivotTable tabId="4" name="PivotTable10"/>
    <pivotTable tabId="4" name="PivotTable11"/>
    <pivotTable tabId="4" name="PivotTable9"/>
    <pivotTable tabId="6" name="PivotTable1"/>
    <pivotTable tabId="6" name="PivotTable2"/>
    <pivotTable tabId="6" name="PivotTable4"/>
    <pivotTable tabId="6" name="PivotTable5"/>
    <pivotTable tabId="6" name="PivotTable6"/>
    <pivotTable tabId="5" name="PivotTable7"/>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iscount Category" cache="Slicer_Discount_Category" caption="Discount Category" rowHeight="234950"/>
  <slicer name="Rating Category" cache="Slicer_Rating_Category" caption="Rating Category"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Discount Category 1" cache="Slicer_Discount_Category" caption="Discount Category" rowHeight="234950"/>
  <slicer name="Rating Category 1" cache="Slicer_Rating_Category" caption="Rating 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3.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6"/>
  <sheetViews>
    <sheetView topLeftCell="A2" workbookViewId="0">
      <selection activeCell="G15" sqref="G15"/>
    </sheetView>
  </sheetViews>
  <sheetFormatPr defaultRowHeight="14.4" x14ac:dyDescent="0.3"/>
  <sheetData>
    <row r="1" spans="1:6" x14ac:dyDescent="0.3">
      <c r="A1" t="s">
        <v>0</v>
      </c>
      <c r="B1" t="s">
        <v>1</v>
      </c>
      <c r="C1" t="s">
        <v>2</v>
      </c>
      <c r="D1" t="s">
        <v>3</v>
      </c>
      <c r="E1" t="s">
        <v>4</v>
      </c>
      <c r="F1" t="s">
        <v>5</v>
      </c>
    </row>
    <row r="2" spans="1:6" x14ac:dyDescent="0.3">
      <c r="A2" t="s">
        <v>6</v>
      </c>
      <c r="B2" t="s">
        <v>7</v>
      </c>
      <c r="C2" t="s">
        <v>8</v>
      </c>
      <c r="D2" s="1">
        <v>0.38</v>
      </c>
      <c r="E2">
        <v>-2</v>
      </c>
      <c r="F2" t="s">
        <v>9</v>
      </c>
    </row>
    <row r="3" spans="1:6" x14ac:dyDescent="0.3">
      <c r="A3" t="s">
        <v>10</v>
      </c>
      <c r="B3" t="s">
        <v>11</v>
      </c>
      <c r="C3" t="s">
        <v>12</v>
      </c>
      <c r="D3" s="1">
        <v>0.47</v>
      </c>
      <c r="E3">
        <v>-14</v>
      </c>
      <c r="F3" t="s">
        <v>13</v>
      </c>
    </row>
    <row r="4" spans="1:6" x14ac:dyDescent="0.3">
      <c r="A4" t="s">
        <v>14</v>
      </c>
      <c r="B4" t="s">
        <v>15</v>
      </c>
      <c r="C4" t="s">
        <v>16</v>
      </c>
      <c r="D4" s="1">
        <v>0.25</v>
      </c>
      <c r="E4">
        <v>-24</v>
      </c>
      <c r="F4" t="s">
        <v>17</v>
      </c>
    </row>
    <row r="5" spans="1:6" x14ac:dyDescent="0.3">
      <c r="A5" t="s">
        <v>18</v>
      </c>
      <c r="B5" t="s">
        <v>19</v>
      </c>
      <c r="C5" t="s">
        <v>20</v>
      </c>
      <c r="D5" s="1">
        <v>0.37</v>
      </c>
      <c r="E5">
        <v>-7</v>
      </c>
      <c r="F5" t="s">
        <v>21</v>
      </c>
    </row>
    <row r="6" spans="1:6" x14ac:dyDescent="0.3">
      <c r="A6" t="s">
        <v>22</v>
      </c>
      <c r="B6" t="s">
        <v>23</v>
      </c>
      <c r="C6" t="s">
        <v>24</v>
      </c>
      <c r="D6" s="1">
        <v>0.26</v>
      </c>
      <c r="E6">
        <v>-5</v>
      </c>
      <c r="F6" t="s">
        <v>25</v>
      </c>
    </row>
    <row r="7" spans="1:6" x14ac:dyDescent="0.3">
      <c r="A7" t="s">
        <v>26</v>
      </c>
      <c r="B7" t="s">
        <v>27</v>
      </c>
      <c r="C7" t="s">
        <v>28</v>
      </c>
      <c r="D7" s="1">
        <v>0.09</v>
      </c>
      <c r="E7">
        <v>-15</v>
      </c>
      <c r="F7" t="s">
        <v>29</v>
      </c>
    </row>
    <row r="8" spans="1:6" x14ac:dyDescent="0.3">
      <c r="A8" t="s">
        <v>30</v>
      </c>
      <c r="B8" t="s">
        <v>31</v>
      </c>
      <c r="C8" t="s">
        <v>32</v>
      </c>
      <c r="D8" s="1">
        <v>0.24</v>
      </c>
      <c r="E8">
        <v>-55</v>
      </c>
      <c r="F8" t="s">
        <v>17</v>
      </c>
    </row>
    <row r="9" spans="1:6" x14ac:dyDescent="0.3">
      <c r="A9" t="s">
        <v>33</v>
      </c>
      <c r="B9" t="s">
        <v>34</v>
      </c>
      <c r="C9" t="s">
        <v>19</v>
      </c>
      <c r="D9" s="1">
        <v>0.37</v>
      </c>
      <c r="E9">
        <v>-2</v>
      </c>
      <c r="F9" t="s">
        <v>29</v>
      </c>
    </row>
    <row r="10" spans="1:6" x14ac:dyDescent="0.3">
      <c r="A10" t="s">
        <v>35</v>
      </c>
      <c r="B10" t="s">
        <v>36</v>
      </c>
      <c r="C10" t="s">
        <v>37</v>
      </c>
      <c r="D10" s="1">
        <v>0.55000000000000004</v>
      </c>
      <c r="E10">
        <v>-5</v>
      </c>
      <c r="F10" t="s">
        <v>25</v>
      </c>
    </row>
    <row r="11" spans="1:6" x14ac:dyDescent="0.3">
      <c r="A11" t="s">
        <v>38</v>
      </c>
      <c r="B11" t="s">
        <v>39</v>
      </c>
      <c r="C11" t="s">
        <v>40</v>
      </c>
      <c r="D11" s="1">
        <v>0.45</v>
      </c>
      <c r="E11">
        <v>-5</v>
      </c>
      <c r="F11" t="s">
        <v>41</v>
      </c>
    </row>
    <row r="12" spans="1:6" x14ac:dyDescent="0.3">
      <c r="A12" t="s">
        <v>42</v>
      </c>
      <c r="B12" t="s">
        <v>43</v>
      </c>
      <c r="C12" t="s">
        <v>12</v>
      </c>
      <c r="D12" s="1">
        <v>0.2</v>
      </c>
      <c r="E12">
        <v>-12</v>
      </c>
      <c r="F12" t="s">
        <v>13</v>
      </c>
    </row>
    <row r="13" spans="1:6" x14ac:dyDescent="0.3">
      <c r="A13" t="s">
        <v>44</v>
      </c>
      <c r="B13" t="s">
        <v>45</v>
      </c>
      <c r="C13" t="s">
        <v>46</v>
      </c>
      <c r="D13" s="1">
        <v>0.34</v>
      </c>
      <c r="E13">
        <v>-39</v>
      </c>
      <c r="F13" t="s">
        <v>21</v>
      </c>
    </row>
    <row r="14" spans="1:6" x14ac:dyDescent="0.3">
      <c r="A14" t="s">
        <v>47</v>
      </c>
      <c r="B14" t="s">
        <v>48</v>
      </c>
      <c r="C14" t="s">
        <v>49</v>
      </c>
      <c r="D14" s="1">
        <v>0.47</v>
      </c>
      <c r="E14">
        <v>-12</v>
      </c>
      <c r="F14" t="s">
        <v>25</v>
      </c>
    </row>
    <row r="15" spans="1:6" x14ac:dyDescent="0.3">
      <c r="A15" t="s">
        <v>50</v>
      </c>
      <c r="B15" t="s">
        <v>51</v>
      </c>
      <c r="C15" t="s">
        <v>52</v>
      </c>
      <c r="D15" s="1">
        <v>0.42</v>
      </c>
      <c r="E15">
        <v>-6</v>
      </c>
      <c r="F15" t="s">
        <v>9</v>
      </c>
    </row>
    <row r="16" spans="1:6" x14ac:dyDescent="0.3">
      <c r="A16" t="s">
        <v>53</v>
      </c>
      <c r="B16" t="s">
        <v>54</v>
      </c>
      <c r="C16" t="s">
        <v>20</v>
      </c>
      <c r="D16" s="1">
        <v>0.33</v>
      </c>
      <c r="E16">
        <v>-9</v>
      </c>
      <c r="F16" t="s">
        <v>55</v>
      </c>
    </row>
    <row r="17" spans="1:6" x14ac:dyDescent="0.3">
      <c r="A17" t="s">
        <v>56</v>
      </c>
      <c r="B17" t="s">
        <v>57</v>
      </c>
      <c r="C17" t="s">
        <v>58</v>
      </c>
      <c r="D17" s="1">
        <v>0.51</v>
      </c>
      <c r="E17">
        <v>-2</v>
      </c>
      <c r="F17" t="s">
        <v>59</v>
      </c>
    </row>
    <row r="18" spans="1:6" x14ac:dyDescent="0.3">
      <c r="A18" t="s">
        <v>60</v>
      </c>
      <c r="B18" t="s">
        <v>61</v>
      </c>
      <c r="C18" t="s">
        <v>62</v>
      </c>
      <c r="D18" s="1">
        <v>0.46</v>
      </c>
      <c r="E18">
        <v>-2</v>
      </c>
      <c r="F18" t="s">
        <v>59</v>
      </c>
    </row>
    <row r="19" spans="1:6" x14ac:dyDescent="0.3">
      <c r="A19" t="s">
        <v>63</v>
      </c>
      <c r="B19" t="s">
        <v>64</v>
      </c>
      <c r="C19" t="s">
        <v>65</v>
      </c>
      <c r="D19" s="1">
        <v>0.49</v>
      </c>
      <c r="E19">
        <v>-3</v>
      </c>
      <c r="F19" t="s">
        <v>59</v>
      </c>
    </row>
    <row r="20" spans="1:6" x14ac:dyDescent="0.3">
      <c r="A20" t="s">
        <v>66</v>
      </c>
      <c r="B20" t="s">
        <v>27</v>
      </c>
      <c r="C20" t="s">
        <v>67</v>
      </c>
      <c r="D20" s="1">
        <v>0.19</v>
      </c>
      <c r="E20">
        <v>-5</v>
      </c>
      <c r="F20" t="s">
        <v>17</v>
      </c>
    </row>
    <row r="21" spans="1:6" x14ac:dyDescent="0.3">
      <c r="A21" t="s">
        <v>68</v>
      </c>
      <c r="B21" t="s">
        <v>69</v>
      </c>
      <c r="C21" t="s">
        <v>70</v>
      </c>
      <c r="D21" s="1">
        <v>0.49</v>
      </c>
      <c r="E21">
        <v>-44</v>
      </c>
      <c r="F21" t="s">
        <v>17</v>
      </c>
    </row>
    <row r="22" spans="1:6" x14ac:dyDescent="0.3">
      <c r="A22" t="s">
        <v>71</v>
      </c>
      <c r="B22" t="s">
        <v>72</v>
      </c>
      <c r="C22" t="s">
        <v>73</v>
      </c>
      <c r="D22" s="1">
        <v>0.53</v>
      </c>
      <c r="E22">
        <v>-13</v>
      </c>
      <c r="F22" t="s">
        <v>74</v>
      </c>
    </row>
    <row r="23" spans="1:6" x14ac:dyDescent="0.3">
      <c r="A23" t="s">
        <v>75</v>
      </c>
      <c r="B23" t="s">
        <v>76</v>
      </c>
      <c r="C23" t="s">
        <v>77</v>
      </c>
      <c r="D23" s="1">
        <v>0.42</v>
      </c>
    </row>
    <row r="24" spans="1:6" x14ac:dyDescent="0.3">
      <c r="A24" t="s">
        <v>78</v>
      </c>
      <c r="B24" t="s">
        <v>79</v>
      </c>
      <c r="C24" t="s">
        <v>80</v>
      </c>
      <c r="D24" s="1">
        <v>0.35</v>
      </c>
      <c r="E24">
        <v>-6</v>
      </c>
      <c r="F24" t="s">
        <v>29</v>
      </c>
    </row>
    <row r="25" spans="1:6" x14ac:dyDescent="0.3">
      <c r="A25" t="s">
        <v>81</v>
      </c>
      <c r="B25" t="s">
        <v>82</v>
      </c>
      <c r="C25" t="s">
        <v>83</v>
      </c>
      <c r="D25" s="1">
        <v>0.23</v>
      </c>
      <c r="E25">
        <v>-14</v>
      </c>
      <c r="F25" t="s">
        <v>84</v>
      </c>
    </row>
    <row r="26" spans="1:6" x14ac:dyDescent="0.3">
      <c r="A26" t="s">
        <v>85</v>
      </c>
      <c r="B26" t="s">
        <v>86</v>
      </c>
      <c r="C26" t="s">
        <v>87</v>
      </c>
      <c r="D26" s="1">
        <v>0.54</v>
      </c>
      <c r="E26">
        <v>-7</v>
      </c>
      <c r="F26" t="s">
        <v>88</v>
      </c>
    </row>
    <row r="27" spans="1:6" x14ac:dyDescent="0.3">
      <c r="A27" t="s">
        <v>89</v>
      </c>
      <c r="B27" t="s">
        <v>90</v>
      </c>
      <c r="C27" t="s">
        <v>91</v>
      </c>
      <c r="D27" s="1">
        <v>0.35</v>
      </c>
      <c r="E27">
        <v>-49</v>
      </c>
      <c r="F27" t="s">
        <v>17</v>
      </c>
    </row>
    <row r="28" spans="1:6" x14ac:dyDescent="0.3">
      <c r="A28" t="s">
        <v>92</v>
      </c>
      <c r="B28" t="s">
        <v>93</v>
      </c>
      <c r="C28" t="s">
        <v>94</v>
      </c>
      <c r="D28" s="1">
        <v>0.18</v>
      </c>
      <c r="E28">
        <v>-12</v>
      </c>
      <c r="F28" t="s">
        <v>41</v>
      </c>
    </row>
    <row r="29" spans="1:6" x14ac:dyDescent="0.3">
      <c r="A29" t="s">
        <v>95</v>
      </c>
      <c r="B29" t="s">
        <v>80</v>
      </c>
      <c r="C29" t="s">
        <v>96</v>
      </c>
      <c r="D29" s="1">
        <v>0.32</v>
      </c>
      <c r="E29">
        <v>-13</v>
      </c>
      <c r="F29" t="s">
        <v>41</v>
      </c>
    </row>
    <row r="30" spans="1:6" x14ac:dyDescent="0.3">
      <c r="A30" t="s">
        <v>97</v>
      </c>
      <c r="B30" t="s">
        <v>98</v>
      </c>
      <c r="C30" t="s">
        <v>20</v>
      </c>
      <c r="D30" s="1">
        <v>0.3</v>
      </c>
      <c r="E30">
        <v>-20</v>
      </c>
      <c r="F30" t="s">
        <v>13</v>
      </c>
    </row>
    <row r="31" spans="1:6" x14ac:dyDescent="0.3">
      <c r="A31" t="s">
        <v>99</v>
      </c>
      <c r="B31" t="s">
        <v>100</v>
      </c>
      <c r="C31" t="s">
        <v>101</v>
      </c>
      <c r="D31" s="1">
        <v>0.46</v>
      </c>
    </row>
    <row r="32" spans="1:6" x14ac:dyDescent="0.3">
      <c r="A32" t="s">
        <v>102</v>
      </c>
      <c r="B32" t="s">
        <v>103</v>
      </c>
      <c r="C32" t="s">
        <v>104</v>
      </c>
      <c r="D32" s="1">
        <v>0.52</v>
      </c>
      <c r="E32">
        <v>-9</v>
      </c>
      <c r="F32" t="s">
        <v>88</v>
      </c>
    </row>
    <row r="33" spans="1:6" x14ac:dyDescent="0.3">
      <c r="A33" t="s">
        <v>105</v>
      </c>
      <c r="B33" t="s">
        <v>106</v>
      </c>
      <c r="C33" t="s">
        <v>107</v>
      </c>
      <c r="D33" s="1">
        <v>0.34</v>
      </c>
      <c r="E33">
        <v>-12</v>
      </c>
      <c r="F33" t="s">
        <v>21</v>
      </c>
    </row>
    <row r="34" spans="1:6" x14ac:dyDescent="0.3">
      <c r="A34" t="s">
        <v>108</v>
      </c>
      <c r="B34" t="s">
        <v>109</v>
      </c>
      <c r="C34" t="s">
        <v>110</v>
      </c>
      <c r="D34" s="1">
        <v>0.48</v>
      </c>
      <c r="E34">
        <v>-9</v>
      </c>
      <c r="F34" t="s">
        <v>88</v>
      </c>
    </row>
    <row r="35" spans="1:6" x14ac:dyDescent="0.3">
      <c r="A35" t="s">
        <v>111</v>
      </c>
      <c r="B35" t="s">
        <v>112</v>
      </c>
      <c r="C35" t="s">
        <v>113</v>
      </c>
      <c r="D35" s="1">
        <v>0.27</v>
      </c>
      <c r="E35">
        <v>-20</v>
      </c>
      <c r="F35" t="s">
        <v>21</v>
      </c>
    </row>
    <row r="36" spans="1:6" x14ac:dyDescent="0.3">
      <c r="A36" t="s">
        <v>114</v>
      </c>
      <c r="B36" t="s">
        <v>115</v>
      </c>
      <c r="C36" t="s">
        <v>116</v>
      </c>
      <c r="D36" s="1">
        <v>0.27</v>
      </c>
      <c r="E36">
        <v>-32</v>
      </c>
      <c r="F36" t="s">
        <v>9</v>
      </c>
    </row>
    <row r="37" spans="1:6" x14ac:dyDescent="0.3">
      <c r="A37" t="s">
        <v>117</v>
      </c>
      <c r="B37" t="s">
        <v>118</v>
      </c>
      <c r="C37" t="s">
        <v>119</v>
      </c>
      <c r="D37" s="1">
        <v>0.4</v>
      </c>
      <c r="E37">
        <v>-1</v>
      </c>
      <c r="F37" t="s">
        <v>59</v>
      </c>
    </row>
    <row r="38" spans="1:6" x14ac:dyDescent="0.3">
      <c r="A38" t="s">
        <v>120</v>
      </c>
      <c r="B38" t="s">
        <v>121</v>
      </c>
      <c r="C38" t="s">
        <v>62</v>
      </c>
      <c r="D38" s="1">
        <v>0.53</v>
      </c>
      <c r="E38">
        <v>-2</v>
      </c>
      <c r="F38" t="s">
        <v>59</v>
      </c>
    </row>
    <row r="39" spans="1:6" x14ac:dyDescent="0.3">
      <c r="A39" t="s">
        <v>122</v>
      </c>
      <c r="B39" t="s">
        <v>123</v>
      </c>
      <c r="C39" t="s">
        <v>124</v>
      </c>
      <c r="D39" s="1">
        <v>0.41</v>
      </c>
      <c r="E39">
        <v>-36</v>
      </c>
      <c r="F39" t="s">
        <v>88</v>
      </c>
    </row>
    <row r="40" spans="1:6" x14ac:dyDescent="0.3">
      <c r="A40" t="s">
        <v>125</v>
      </c>
      <c r="B40" t="s">
        <v>126</v>
      </c>
      <c r="C40" t="s">
        <v>127</v>
      </c>
      <c r="D40" s="1">
        <v>0.38</v>
      </c>
      <c r="E40">
        <v>-2</v>
      </c>
      <c r="F40" t="s">
        <v>9</v>
      </c>
    </row>
    <row r="41" spans="1:6" x14ac:dyDescent="0.3">
      <c r="A41" t="s">
        <v>128</v>
      </c>
      <c r="B41" t="s">
        <v>129</v>
      </c>
      <c r="C41" t="s">
        <v>130</v>
      </c>
      <c r="D41" s="1">
        <v>0.38</v>
      </c>
    </row>
    <row r="42" spans="1:6" x14ac:dyDescent="0.3">
      <c r="A42" t="s">
        <v>131</v>
      </c>
      <c r="B42" t="s">
        <v>132</v>
      </c>
      <c r="C42" t="s">
        <v>133</v>
      </c>
      <c r="D42" s="1">
        <v>0.49</v>
      </c>
    </row>
    <row r="43" spans="1:6" x14ac:dyDescent="0.3">
      <c r="A43" t="s">
        <v>134</v>
      </c>
      <c r="B43" t="s">
        <v>135</v>
      </c>
      <c r="C43" t="s">
        <v>136</v>
      </c>
      <c r="D43" s="1">
        <v>0.5</v>
      </c>
    </row>
    <row r="44" spans="1:6" x14ac:dyDescent="0.3">
      <c r="A44" t="s">
        <v>137</v>
      </c>
      <c r="B44" t="s">
        <v>138</v>
      </c>
      <c r="C44" t="s">
        <v>139</v>
      </c>
      <c r="D44" s="1">
        <v>0.42</v>
      </c>
    </row>
    <row r="45" spans="1:6" x14ac:dyDescent="0.3">
      <c r="A45" t="s">
        <v>137</v>
      </c>
      <c r="B45" t="s">
        <v>138</v>
      </c>
      <c r="C45" t="s">
        <v>139</v>
      </c>
      <c r="D45" s="1">
        <v>0.42</v>
      </c>
    </row>
    <row r="46" spans="1:6" x14ac:dyDescent="0.3">
      <c r="A46" t="s">
        <v>140</v>
      </c>
      <c r="B46" t="s">
        <v>141</v>
      </c>
      <c r="C46" t="s">
        <v>142</v>
      </c>
      <c r="D46" s="1">
        <v>0.02</v>
      </c>
    </row>
    <row r="47" spans="1:6" x14ac:dyDescent="0.3">
      <c r="A47" t="s">
        <v>143</v>
      </c>
      <c r="B47" t="s">
        <v>12</v>
      </c>
      <c r="C47" t="s">
        <v>144</v>
      </c>
      <c r="D47" s="1">
        <v>0.5</v>
      </c>
    </row>
    <row r="48" spans="1:6" x14ac:dyDescent="0.3">
      <c r="A48" t="s">
        <v>145</v>
      </c>
      <c r="B48" t="s">
        <v>146</v>
      </c>
      <c r="C48" t="s">
        <v>147</v>
      </c>
      <c r="D48" s="1">
        <v>0.33</v>
      </c>
    </row>
    <row r="49" spans="1:6" x14ac:dyDescent="0.3">
      <c r="A49" t="s">
        <v>148</v>
      </c>
      <c r="B49" t="s">
        <v>149</v>
      </c>
      <c r="C49" t="s">
        <v>150</v>
      </c>
      <c r="D49" s="1">
        <v>0.49</v>
      </c>
    </row>
    <row r="50" spans="1:6" x14ac:dyDescent="0.3">
      <c r="A50" t="s">
        <v>151</v>
      </c>
      <c r="B50" t="s">
        <v>152</v>
      </c>
      <c r="C50" t="s">
        <v>153</v>
      </c>
      <c r="D50" s="1">
        <v>0.38</v>
      </c>
    </row>
    <row r="51" spans="1:6" x14ac:dyDescent="0.3">
      <c r="A51" t="s">
        <v>154</v>
      </c>
      <c r="B51" t="s">
        <v>155</v>
      </c>
      <c r="C51" t="s">
        <v>156</v>
      </c>
      <c r="D51" s="1">
        <v>0.61</v>
      </c>
    </row>
    <row r="52" spans="1:6" x14ac:dyDescent="0.3">
      <c r="A52" t="s">
        <v>157</v>
      </c>
      <c r="B52" t="s">
        <v>158</v>
      </c>
      <c r="C52" t="s">
        <v>159</v>
      </c>
      <c r="D52" s="1">
        <v>0.5</v>
      </c>
    </row>
    <row r="53" spans="1:6" x14ac:dyDescent="0.3">
      <c r="A53" t="s">
        <v>160</v>
      </c>
      <c r="B53" t="s">
        <v>161</v>
      </c>
      <c r="C53" t="s">
        <v>162</v>
      </c>
      <c r="D53" s="1">
        <v>0.02</v>
      </c>
    </row>
    <row r="54" spans="1:6" x14ac:dyDescent="0.3">
      <c r="A54" t="s">
        <v>163</v>
      </c>
      <c r="B54" t="s">
        <v>158</v>
      </c>
      <c r="C54" t="s">
        <v>164</v>
      </c>
      <c r="D54" s="1">
        <v>0.22</v>
      </c>
    </row>
    <row r="55" spans="1:6" x14ac:dyDescent="0.3">
      <c r="A55" t="s">
        <v>165</v>
      </c>
      <c r="B55" t="s">
        <v>166</v>
      </c>
      <c r="C55" t="s">
        <v>167</v>
      </c>
      <c r="D55" s="1">
        <v>0.03</v>
      </c>
    </row>
    <row r="56" spans="1:6" x14ac:dyDescent="0.3">
      <c r="A56" t="s">
        <v>168</v>
      </c>
      <c r="B56" t="s">
        <v>43</v>
      </c>
      <c r="C56" t="s">
        <v>169</v>
      </c>
      <c r="D56" s="1">
        <v>0.41</v>
      </c>
    </row>
    <row r="57" spans="1:6" x14ac:dyDescent="0.3">
      <c r="A57" t="s">
        <v>170</v>
      </c>
      <c r="B57" t="s">
        <v>171</v>
      </c>
      <c r="C57" t="s">
        <v>172</v>
      </c>
      <c r="D57" s="1">
        <v>0.45</v>
      </c>
    </row>
    <row r="58" spans="1:6" x14ac:dyDescent="0.3">
      <c r="A58" t="s">
        <v>173</v>
      </c>
      <c r="B58" t="s">
        <v>174</v>
      </c>
      <c r="C58" t="s">
        <v>169</v>
      </c>
      <c r="D58" s="1">
        <v>0.48</v>
      </c>
    </row>
    <row r="59" spans="1:6" x14ac:dyDescent="0.3">
      <c r="A59" t="s">
        <v>175</v>
      </c>
      <c r="B59" t="s">
        <v>43</v>
      </c>
      <c r="C59" t="s">
        <v>176</v>
      </c>
      <c r="D59" s="1">
        <v>0.49</v>
      </c>
    </row>
    <row r="60" spans="1:6" x14ac:dyDescent="0.3">
      <c r="A60" t="s">
        <v>177</v>
      </c>
      <c r="B60" t="s">
        <v>178</v>
      </c>
      <c r="C60" t="s">
        <v>179</v>
      </c>
      <c r="D60" s="1">
        <v>0.27</v>
      </c>
    </row>
    <row r="61" spans="1:6" x14ac:dyDescent="0.3">
      <c r="A61" t="s">
        <v>170</v>
      </c>
      <c r="B61" t="s">
        <v>180</v>
      </c>
      <c r="C61" t="s">
        <v>181</v>
      </c>
      <c r="D61" s="1">
        <v>0.55000000000000004</v>
      </c>
    </row>
    <row r="62" spans="1:6" x14ac:dyDescent="0.3">
      <c r="A62" t="s">
        <v>182</v>
      </c>
      <c r="B62" t="s">
        <v>183</v>
      </c>
      <c r="C62" t="s">
        <v>184</v>
      </c>
      <c r="D62" s="1">
        <v>0.13</v>
      </c>
      <c r="E62">
        <v>-6</v>
      </c>
      <c r="F62" t="s">
        <v>185</v>
      </c>
    </row>
    <row r="63" spans="1:6" x14ac:dyDescent="0.3">
      <c r="A63" t="s">
        <v>186</v>
      </c>
      <c r="B63" t="s">
        <v>187</v>
      </c>
      <c r="C63" t="s">
        <v>188</v>
      </c>
      <c r="D63" s="1">
        <v>0.54</v>
      </c>
      <c r="E63">
        <v>-10</v>
      </c>
      <c r="F63" t="s">
        <v>189</v>
      </c>
    </row>
    <row r="64" spans="1:6" x14ac:dyDescent="0.3">
      <c r="A64" t="s">
        <v>190</v>
      </c>
      <c r="B64" t="s">
        <v>191</v>
      </c>
      <c r="C64" t="s">
        <v>192</v>
      </c>
      <c r="D64" s="1">
        <v>0.55000000000000004</v>
      </c>
      <c r="E64">
        <v>-13</v>
      </c>
      <c r="F64" t="s">
        <v>193</v>
      </c>
    </row>
    <row r="65" spans="1:6" x14ac:dyDescent="0.3">
      <c r="A65" t="s">
        <v>194</v>
      </c>
      <c r="B65" t="s">
        <v>195</v>
      </c>
      <c r="C65" t="s">
        <v>196</v>
      </c>
      <c r="D65" s="1">
        <v>0.49</v>
      </c>
      <c r="E65">
        <v>-69</v>
      </c>
      <c r="F65" t="s">
        <v>197</v>
      </c>
    </row>
    <row r="66" spans="1:6" x14ac:dyDescent="0.3">
      <c r="A66" t="s">
        <v>198</v>
      </c>
      <c r="B66" t="s">
        <v>199</v>
      </c>
      <c r="C66" t="s">
        <v>200</v>
      </c>
      <c r="D66" s="1">
        <v>0.52</v>
      </c>
      <c r="E66">
        <v>-15</v>
      </c>
      <c r="F66" t="s">
        <v>201</v>
      </c>
    </row>
    <row r="67" spans="1:6" x14ac:dyDescent="0.3">
      <c r="A67" t="s">
        <v>202</v>
      </c>
      <c r="B67" t="s">
        <v>203</v>
      </c>
      <c r="C67" t="s">
        <v>204</v>
      </c>
      <c r="D67" s="1">
        <v>0.22</v>
      </c>
      <c r="E67">
        <v>-16</v>
      </c>
      <c r="F67" t="s">
        <v>205</v>
      </c>
    </row>
    <row r="68" spans="1:6" x14ac:dyDescent="0.3">
      <c r="A68" t="s">
        <v>206</v>
      </c>
      <c r="B68" t="s">
        <v>45</v>
      </c>
      <c r="C68" t="s">
        <v>207</v>
      </c>
      <c r="D68" s="1">
        <v>0.45</v>
      </c>
      <c r="E68">
        <v>-6</v>
      </c>
      <c r="F68" t="s">
        <v>208</v>
      </c>
    </row>
    <row r="69" spans="1:6" x14ac:dyDescent="0.3">
      <c r="A69" t="s">
        <v>209</v>
      </c>
      <c r="B69" t="s">
        <v>210</v>
      </c>
      <c r="C69" t="s">
        <v>144</v>
      </c>
      <c r="D69" s="1">
        <v>0.5</v>
      </c>
      <c r="E69">
        <v>-7</v>
      </c>
      <c r="F69" t="s">
        <v>211</v>
      </c>
    </row>
    <row r="70" spans="1:6" x14ac:dyDescent="0.3">
      <c r="A70" t="s">
        <v>212</v>
      </c>
      <c r="B70" t="s">
        <v>213</v>
      </c>
      <c r="C70" t="s">
        <v>214</v>
      </c>
      <c r="D70" s="1">
        <v>0.39</v>
      </c>
      <c r="E70">
        <v>-5</v>
      </c>
      <c r="F70" t="s">
        <v>189</v>
      </c>
    </row>
    <row r="71" spans="1:6" x14ac:dyDescent="0.3">
      <c r="A71" t="s">
        <v>215</v>
      </c>
      <c r="B71" t="s">
        <v>104</v>
      </c>
      <c r="C71" t="s">
        <v>216</v>
      </c>
      <c r="D71" s="1">
        <v>0.45</v>
      </c>
      <c r="E71">
        <v>-17</v>
      </c>
      <c r="F71" t="s">
        <v>217</v>
      </c>
    </row>
    <row r="72" spans="1:6" x14ac:dyDescent="0.3">
      <c r="A72" t="s">
        <v>218</v>
      </c>
      <c r="B72" t="s">
        <v>219</v>
      </c>
      <c r="C72" t="s">
        <v>220</v>
      </c>
      <c r="D72" s="1">
        <v>0.28999999999999998</v>
      </c>
      <c r="E72">
        <v>-5</v>
      </c>
      <c r="F72" t="s">
        <v>189</v>
      </c>
    </row>
    <row r="73" spans="1:6" x14ac:dyDescent="0.3">
      <c r="A73" t="s">
        <v>221</v>
      </c>
      <c r="B73" t="s">
        <v>222</v>
      </c>
      <c r="C73" t="s">
        <v>223</v>
      </c>
      <c r="D73" s="1">
        <v>0.43</v>
      </c>
      <c r="E73">
        <v>-6</v>
      </c>
      <c r="F73" t="s">
        <v>211</v>
      </c>
    </row>
    <row r="74" spans="1:6" x14ac:dyDescent="0.3">
      <c r="A74" t="s">
        <v>224</v>
      </c>
      <c r="B74" t="s">
        <v>225</v>
      </c>
      <c r="C74" t="s">
        <v>226</v>
      </c>
      <c r="D74" s="1">
        <v>0.43</v>
      </c>
      <c r="E74">
        <v>-5</v>
      </c>
      <c r="F74" t="s">
        <v>189</v>
      </c>
    </row>
    <row r="75" spans="1:6" x14ac:dyDescent="0.3">
      <c r="A75" t="s">
        <v>227</v>
      </c>
      <c r="B75" t="s">
        <v>228</v>
      </c>
      <c r="C75" t="s">
        <v>207</v>
      </c>
      <c r="D75" s="1">
        <v>0.47</v>
      </c>
      <c r="E75">
        <v>-6</v>
      </c>
      <c r="F75" t="s">
        <v>208</v>
      </c>
    </row>
    <row r="76" spans="1:6" x14ac:dyDescent="0.3">
      <c r="A76" t="s">
        <v>229</v>
      </c>
      <c r="B76" t="s">
        <v>230</v>
      </c>
      <c r="C76" t="s">
        <v>231</v>
      </c>
      <c r="D76" s="1">
        <v>0.47</v>
      </c>
      <c r="E76">
        <v>-7</v>
      </c>
      <c r="F76" t="s">
        <v>193</v>
      </c>
    </row>
    <row r="77" spans="1:6" x14ac:dyDescent="0.3">
      <c r="A77" t="s">
        <v>232</v>
      </c>
      <c r="B77" t="s">
        <v>233</v>
      </c>
      <c r="C77" t="s">
        <v>234</v>
      </c>
      <c r="D77" s="1">
        <v>0.47</v>
      </c>
    </row>
    <row r="78" spans="1:6" x14ac:dyDescent="0.3">
      <c r="A78" t="s">
        <v>235</v>
      </c>
      <c r="B78" t="s">
        <v>236</v>
      </c>
      <c r="C78" t="s">
        <v>152</v>
      </c>
      <c r="D78" s="1">
        <v>0.43</v>
      </c>
    </row>
    <row r="79" spans="1:6" x14ac:dyDescent="0.3">
      <c r="A79" t="s">
        <v>237</v>
      </c>
      <c r="B79" t="s">
        <v>238</v>
      </c>
      <c r="C79" t="s">
        <v>239</v>
      </c>
      <c r="D79" s="1">
        <v>0.04</v>
      </c>
    </row>
    <row r="80" spans="1:6" x14ac:dyDescent="0.3">
      <c r="A80" t="s">
        <v>240</v>
      </c>
      <c r="B80" t="s">
        <v>241</v>
      </c>
      <c r="C80" t="s">
        <v>242</v>
      </c>
      <c r="D80" s="1">
        <v>0.49</v>
      </c>
    </row>
    <row r="81" spans="1:6" x14ac:dyDescent="0.3">
      <c r="A81" t="s">
        <v>243</v>
      </c>
      <c r="B81" t="s">
        <v>244</v>
      </c>
      <c r="C81" t="s">
        <v>15</v>
      </c>
      <c r="D81" s="1">
        <v>0.46</v>
      </c>
      <c r="E81">
        <v>-1</v>
      </c>
      <c r="F81" t="s">
        <v>189</v>
      </c>
    </row>
    <row r="82" spans="1:6" x14ac:dyDescent="0.3">
      <c r="A82" t="s">
        <v>245</v>
      </c>
      <c r="B82" t="s">
        <v>246</v>
      </c>
      <c r="C82" t="s">
        <v>247</v>
      </c>
      <c r="D82" s="1">
        <v>0.49</v>
      </c>
      <c r="E82">
        <v>-1</v>
      </c>
      <c r="F82" t="s">
        <v>59</v>
      </c>
    </row>
    <row r="83" spans="1:6" x14ac:dyDescent="0.3">
      <c r="A83" t="s">
        <v>248</v>
      </c>
      <c r="B83" t="s">
        <v>249</v>
      </c>
      <c r="C83" t="s">
        <v>250</v>
      </c>
      <c r="D83" s="1">
        <v>0.36</v>
      </c>
    </row>
    <row r="84" spans="1:6" x14ac:dyDescent="0.3">
      <c r="A84" t="s">
        <v>251</v>
      </c>
      <c r="B84" t="s">
        <v>252</v>
      </c>
      <c r="C84" t="s">
        <v>162</v>
      </c>
      <c r="D84" s="1">
        <v>0.02</v>
      </c>
    </row>
    <row r="85" spans="1:6" x14ac:dyDescent="0.3">
      <c r="A85" t="s">
        <v>253</v>
      </c>
      <c r="B85" t="s">
        <v>254</v>
      </c>
      <c r="C85" t="s">
        <v>91</v>
      </c>
      <c r="D85" s="1">
        <v>0.49</v>
      </c>
      <c r="E85">
        <v>-1</v>
      </c>
      <c r="F85" t="s">
        <v>29</v>
      </c>
    </row>
    <row r="86" spans="1:6" x14ac:dyDescent="0.3">
      <c r="A86" t="s">
        <v>137</v>
      </c>
      <c r="B86" t="s">
        <v>138</v>
      </c>
      <c r="C86" t="s">
        <v>139</v>
      </c>
      <c r="D86" s="1">
        <v>0.42</v>
      </c>
    </row>
    <row r="87" spans="1:6" x14ac:dyDescent="0.3">
      <c r="A87" t="s">
        <v>154</v>
      </c>
      <c r="B87" t="s">
        <v>255</v>
      </c>
      <c r="C87" t="s">
        <v>222</v>
      </c>
      <c r="D87" s="1">
        <v>0.49</v>
      </c>
    </row>
    <row r="88" spans="1:6" x14ac:dyDescent="0.3">
      <c r="A88" t="s">
        <v>256</v>
      </c>
      <c r="B88" t="s">
        <v>257</v>
      </c>
      <c r="C88" t="s">
        <v>162</v>
      </c>
      <c r="D88" s="1">
        <v>0.14000000000000001</v>
      </c>
    </row>
    <row r="89" spans="1:6" x14ac:dyDescent="0.3">
      <c r="A89" t="s">
        <v>258</v>
      </c>
      <c r="B89" t="s">
        <v>259</v>
      </c>
      <c r="C89" t="s">
        <v>260</v>
      </c>
      <c r="D89" s="1">
        <v>0.49</v>
      </c>
    </row>
    <row r="90" spans="1:6" x14ac:dyDescent="0.3">
      <c r="A90" t="s">
        <v>261</v>
      </c>
      <c r="B90" t="s">
        <v>43</v>
      </c>
      <c r="C90" t="s">
        <v>172</v>
      </c>
      <c r="D90" s="1">
        <v>0.11</v>
      </c>
    </row>
    <row r="91" spans="1:6" x14ac:dyDescent="0.3">
      <c r="A91" t="s">
        <v>175</v>
      </c>
      <c r="B91" t="s">
        <v>262</v>
      </c>
      <c r="C91" t="s">
        <v>263</v>
      </c>
      <c r="D91" s="1">
        <v>0.49</v>
      </c>
    </row>
    <row r="92" spans="1:6" x14ac:dyDescent="0.3">
      <c r="A92" t="s">
        <v>264</v>
      </c>
      <c r="B92" t="s">
        <v>265</v>
      </c>
      <c r="C92" t="s">
        <v>162</v>
      </c>
      <c r="D92" s="1">
        <v>0.14000000000000001</v>
      </c>
    </row>
    <row r="93" spans="1:6" x14ac:dyDescent="0.3">
      <c r="A93" t="s">
        <v>266</v>
      </c>
      <c r="B93" t="s">
        <v>267</v>
      </c>
      <c r="C93" t="s">
        <v>268</v>
      </c>
      <c r="D93" s="1">
        <v>0.43</v>
      </c>
    </row>
    <row r="94" spans="1:6" x14ac:dyDescent="0.3">
      <c r="A94" t="s">
        <v>269</v>
      </c>
      <c r="B94" t="s">
        <v>270</v>
      </c>
      <c r="C94" t="s">
        <v>271</v>
      </c>
      <c r="D94" s="1">
        <v>0.5</v>
      </c>
    </row>
    <row r="95" spans="1:6" x14ac:dyDescent="0.3">
      <c r="A95" t="s">
        <v>272</v>
      </c>
      <c r="B95" t="s">
        <v>273</v>
      </c>
      <c r="C95" t="s">
        <v>184</v>
      </c>
      <c r="D95" s="1">
        <v>0.48</v>
      </c>
    </row>
    <row r="96" spans="1:6" x14ac:dyDescent="0.3">
      <c r="A96" t="s">
        <v>274</v>
      </c>
      <c r="B96" t="s">
        <v>275</v>
      </c>
      <c r="C96" t="s">
        <v>276</v>
      </c>
      <c r="D96" s="1">
        <v>0.48</v>
      </c>
    </row>
    <row r="97" spans="1:6" x14ac:dyDescent="0.3">
      <c r="A97" t="s">
        <v>277</v>
      </c>
      <c r="B97" t="s">
        <v>226</v>
      </c>
      <c r="C97" t="s">
        <v>162</v>
      </c>
      <c r="D97" s="1">
        <v>0.47</v>
      </c>
    </row>
    <row r="98" spans="1:6" x14ac:dyDescent="0.3">
      <c r="A98" t="s">
        <v>277</v>
      </c>
      <c r="B98" t="s">
        <v>226</v>
      </c>
      <c r="C98" t="s">
        <v>162</v>
      </c>
      <c r="D98" s="1">
        <v>0.47</v>
      </c>
    </row>
    <row r="99" spans="1:6" x14ac:dyDescent="0.3">
      <c r="A99" t="s">
        <v>278</v>
      </c>
      <c r="B99" t="s">
        <v>152</v>
      </c>
      <c r="C99" t="s">
        <v>279</v>
      </c>
      <c r="D99" s="1">
        <v>0.5</v>
      </c>
    </row>
    <row r="100" spans="1:6" x14ac:dyDescent="0.3">
      <c r="A100" t="s">
        <v>280</v>
      </c>
      <c r="B100" t="s">
        <v>281</v>
      </c>
      <c r="C100" t="s">
        <v>161</v>
      </c>
      <c r="D100" s="1">
        <v>0.08</v>
      </c>
    </row>
    <row r="101" spans="1:6" x14ac:dyDescent="0.3">
      <c r="A101" t="s">
        <v>282</v>
      </c>
      <c r="B101" t="s">
        <v>283</v>
      </c>
      <c r="C101" t="s">
        <v>167</v>
      </c>
      <c r="D101" s="1">
        <v>0.02</v>
      </c>
    </row>
    <row r="102" spans="1:6" x14ac:dyDescent="0.3">
      <c r="A102" t="s">
        <v>284</v>
      </c>
      <c r="B102" t="s">
        <v>285</v>
      </c>
      <c r="C102" t="s">
        <v>286</v>
      </c>
      <c r="D102" s="1">
        <v>0.49</v>
      </c>
    </row>
    <row r="103" spans="1:6" x14ac:dyDescent="0.3">
      <c r="A103" t="s">
        <v>287</v>
      </c>
      <c r="B103" t="s">
        <v>288</v>
      </c>
      <c r="C103" t="s">
        <v>67</v>
      </c>
      <c r="D103" s="1">
        <v>0.04</v>
      </c>
    </row>
    <row r="104" spans="1:6" x14ac:dyDescent="0.3">
      <c r="A104" t="s">
        <v>289</v>
      </c>
      <c r="B104" t="s">
        <v>290</v>
      </c>
      <c r="C104" t="s">
        <v>291</v>
      </c>
      <c r="D104" s="1">
        <v>0.49</v>
      </c>
    </row>
    <row r="105" spans="1:6" x14ac:dyDescent="0.3">
      <c r="A105" t="s">
        <v>292</v>
      </c>
      <c r="B105" t="s">
        <v>293</v>
      </c>
      <c r="C105" t="s">
        <v>294</v>
      </c>
      <c r="D105" s="1">
        <v>0.42</v>
      </c>
    </row>
    <row r="106" spans="1:6" x14ac:dyDescent="0.3">
      <c r="A106" t="s">
        <v>295</v>
      </c>
      <c r="B106" t="s">
        <v>296</v>
      </c>
      <c r="C106" t="s">
        <v>297</v>
      </c>
      <c r="D106" s="1">
        <v>0.21</v>
      </c>
      <c r="E106">
        <v>-1</v>
      </c>
      <c r="F106" t="s">
        <v>59</v>
      </c>
    </row>
    <row r="107" spans="1:6" x14ac:dyDescent="0.3">
      <c r="A107" t="s">
        <v>298</v>
      </c>
      <c r="B107" t="s">
        <v>299</v>
      </c>
      <c r="C107" t="s">
        <v>300</v>
      </c>
      <c r="D107" s="1">
        <v>0.41</v>
      </c>
    </row>
    <row r="108" spans="1:6" x14ac:dyDescent="0.3">
      <c r="A108" t="s">
        <v>301</v>
      </c>
      <c r="B108" t="s">
        <v>302</v>
      </c>
      <c r="C108" t="s">
        <v>303</v>
      </c>
      <c r="D108" s="1">
        <v>0.01</v>
      </c>
    </row>
    <row r="109" spans="1:6" x14ac:dyDescent="0.3">
      <c r="A109" t="s">
        <v>304</v>
      </c>
      <c r="B109" t="s">
        <v>305</v>
      </c>
      <c r="C109" t="s">
        <v>306</v>
      </c>
      <c r="D109" s="1">
        <v>0.24</v>
      </c>
    </row>
    <row r="110" spans="1:6" x14ac:dyDescent="0.3">
      <c r="A110" t="s">
        <v>307</v>
      </c>
      <c r="B110" t="s">
        <v>308</v>
      </c>
      <c r="C110" t="s">
        <v>309</v>
      </c>
      <c r="D110" s="1">
        <v>0.34</v>
      </c>
    </row>
    <row r="111" spans="1:6" x14ac:dyDescent="0.3">
      <c r="A111" t="s">
        <v>310</v>
      </c>
      <c r="B111" t="s">
        <v>146</v>
      </c>
      <c r="C111" t="s">
        <v>311</v>
      </c>
      <c r="D111" s="1">
        <v>0.34</v>
      </c>
    </row>
    <row r="112" spans="1:6" x14ac:dyDescent="0.3">
      <c r="A112" t="s">
        <v>312</v>
      </c>
      <c r="B112" t="s">
        <v>313</v>
      </c>
      <c r="C112" t="s">
        <v>162</v>
      </c>
      <c r="D112" s="1">
        <v>0.02</v>
      </c>
    </row>
    <row r="113" spans="1:6" x14ac:dyDescent="0.3">
      <c r="A113" t="s">
        <v>314</v>
      </c>
      <c r="B113" t="s">
        <v>315</v>
      </c>
      <c r="C113" t="s">
        <v>239</v>
      </c>
      <c r="D113" s="1">
        <v>0.02</v>
      </c>
    </row>
    <row r="114" spans="1:6" x14ac:dyDescent="0.3">
      <c r="A114" t="s">
        <v>316</v>
      </c>
      <c r="B114" t="s">
        <v>155</v>
      </c>
      <c r="C114" t="s">
        <v>317</v>
      </c>
      <c r="D114" s="1">
        <v>0.64</v>
      </c>
    </row>
    <row r="115" spans="1:6" x14ac:dyDescent="0.3">
      <c r="A115" t="s">
        <v>318</v>
      </c>
      <c r="B115" t="s">
        <v>242</v>
      </c>
      <c r="C115" t="s">
        <v>172</v>
      </c>
      <c r="D115" s="1">
        <v>0.5</v>
      </c>
      <c r="E115">
        <v>-1</v>
      </c>
      <c r="F115" t="s">
        <v>319</v>
      </c>
    </row>
    <row r="116" spans="1:6" x14ac:dyDescent="0.3">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0"/>
  <sheetViews>
    <sheetView topLeftCell="B1" workbookViewId="0">
      <pane ySplit="1" topLeftCell="A2" activePane="bottomLeft" state="frozen"/>
      <selection pane="bottomLeft" activeCell="J118" sqref="J118"/>
    </sheetView>
  </sheetViews>
  <sheetFormatPr defaultRowHeight="14.4" x14ac:dyDescent="0.3"/>
  <cols>
    <col min="1" max="1" width="87.88671875" bestFit="1" customWidth="1"/>
    <col min="2" max="3" width="12.33203125" style="4" bestFit="1" customWidth="1"/>
    <col min="4" max="4" width="12.33203125" style="4" customWidth="1"/>
    <col min="5" max="5" width="8.33203125" bestFit="1" customWidth="1"/>
    <col min="6" max="6" width="8.33203125" customWidth="1"/>
    <col min="7" max="7" width="7" bestFit="1" customWidth="1"/>
  </cols>
  <sheetData>
    <row r="1" spans="1:9" x14ac:dyDescent="0.3">
      <c r="A1" s="2" t="s">
        <v>0</v>
      </c>
      <c r="B1" s="3" t="s">
        <v>1</v>
      </c>
      <c r="C1" s="3" t="s">
        <v>324</v>
      </c>
      <c r="D1" s="3" t="s">
        <v>325</v>
      </c>
      <c r="E1" s="2" t="s">
        <v>3</v>
      </c>
      <c r="F1" s="2" t="s">
        <v>327</v>
      </c>
      <c r="G1" s="2" t="s">
        <v>4</v>
      </c>
      <c r="H1" s="2" t="s">
        <v>323</v>
      </c>
      <c r="I1" s="2" t="s">
        <v>326</v>
      </c>
    </row>
    <row r="2" spans="1:9" x14ac:dyDescent="0.3">
      <c r="A2" t="s">
        <v>6</v>
      </c>
      <c r="B2" s="4">
        <v>950</v>
      </c>
      <c r="C2" s="4">
        <v>1525</v>
      </c>
      <c r="D2" s="4">
        <f t="shared" ref="D2:D33" si="0">C2-B2</f>
        <v>575</v>
      </c>
      <c r="E2" s="1">
        <v>0.38</v>
      </c>
      <c r="F2" s="1" t="str">
        <f>IF(E2&lt;20%,"Low",IF(E2&gt;40%,"High","Medium"))</f>
        <v>Medium</v>
      </c>
      <c r="G2">
        <v>2</v>
      </c>
      <c r="H2">
        <v>4.5</v>
      </c>
      <c r="I2" t="str">
        <f>IF(H2&lt;3,"Poor",IF(H2&gt;=4.5,"Excellent","Average"))</f>
        <v>Excellent</v>
      </c>
    </row>
    <row r="3" spans="1:9" x14ac:dyDescent="0.3">
      <c r="A3" t="s">
        <v>10</v>
      </c>
      <c r="B3" s="4">
        <v>527</v>
      </c>
      <c r="C3" s="4">
        <v>999</v>
      </c>
      <c r="D3" s="4">
        <f t="shared" si="0"/>
        <v>472</v>
      </c>
      <c r="E3" s="1">
        <v>0.47</v>
      </c>
      <c r="F3" s="1" t="str">
        <f t="shared" ref="F3:F66" si="1">IF(E3&lt;20%,"Low",IF(E3&gt;40%,"High","Medium"))</f>
        <v>High</v>
      </c>
      <c r="G3">
        <v>14</v>
      </c>
      <c r="H3">
        <v>4.0999999999999996</v>
      </c>
      <c r="I3" t="str">
        <f t="shared" ref="I3:I66" si="2">IF(H3&lt;3,"Poor",IF(H3&gt;=4.5,"Excellent","Average"))</f>
        <v>Average</v>
      </c>
    </row>
    <row r="4" spans="1:9" x14ac:dyDescent="0.3">
      <c r="A4" t="s">
        <v>14</v>
      </c>
      <c r="B4" s="4">
        <v>2199</v>
      </c>
      <c r="C4" s="4">
        <v>2923</v>
      </c>
      <c r="D4" s="4">
        <f t="shared" si="0"/>
        <v>724</v>
      </c>
      <c r="E4" s="1">
        <v>0.25</v>
      </c>
      <c r="F4" s="1" t="str">
        <f t="shared" si="1"/>
        <v>Medium</v>
      </c>
      <c r="G4">
        <v>24</v>
      </c>
      <c r="H4">
        <v>4.5999999999999996</v>
      </c>
      <c r="I4" t="str">
        <f t="shared" si="2"/>
        <v>Excellent</v>
      </c>
    </row>
    <row r="5" spans="1:9" x14ac:dyDescent="0.3">
      <c r="A5" t="s">
        <v>18</v>
      </c>
      <c r="B5" s="4">
        <v>1580</v>
      </c>
      <c r="C5" s="4">
        <v>2499</v>
      </c>
      <c r="D5" s="4">
        <f t="shared" si="0"/>
        <v>919</v>
      </c>
      <c r="E5" s="1">
        <v>0.37</v>
      </c>
      <c r="F5" s="1" t="str">
        <f t="shared" si="1"/>
        <v>Medium</v>
      </c>
      <c r="G5">
        <v>7</v>
      </c>
      <c r="H5">
        <v>4.7</v>
      </c>
      <c r="I5" t="str">
        <f t="shared" si="2"/>
        <v>Excellent</v>
      </c>
    </row>
    <row r="6" spans="1:9" x14ac:dyDescent="0.3">
      <c r="A6" t="s">
        <v>22</v>
      </c>
      <c r="B6" s="4">
        <v>1740</v>
      </c>
      <c r="C6" s="4">
        <v>2356</v>
      </c>
      <c r="D6" s="4">
        <f t="shared" si="0"/>
        <v>616</v>
      </c>
      <c r="E6" s="1">
        <v>0.26</v>
      </c>
      <c r="F6" s="1" t="str">
        <f t="shared" si="1"/>
        <v>Medium</v>
      </c>
      <c r="G6">
        <v>5</v>
      </c>
      <c r="H6">
        <v>4.8</v>
      </c>
      <c r="I6" t="str">
        <f t="shared" si="2"/>
        <v>Excellent</v>
      </c>
    </row>
    <row r="7" spans="1:9" x14ac:dyDescent="0.3">
      <c r="A7" t="s">
        <v>26</v>
      </c>
      <c r="B7" s="4">
        <v>2999</v>
      </c>
      <c r="C7" s="4">
        <v>3290</v>
      </c>
      <c r="D7" s="4">
        <f t="shared" si="0"/>
        <v>291</v>
      </c>
      <c r="E7" s="1">
        <v>0.09</v>
      </c>
      <c r="F7" s="1" t="str">
        <f t="shared" si="1"/>
        <v>Low</v>
      </c>
      <c r="G7">
        <v>15</v>
      </c>
      <c r="H7">
        <v>4</v>
      </c>
      <c r="I7" t="str">
        <f t="shared" si="2"/>
        <v>Average</v>
      </c>
    </row>
    <row r="8" spans="1:9" x14ac:dyDescent="0.3">
      <c r="A8" t="s">
        <v>30</v>
      </c>
      <c r="B8" s="4">
        <v>2319</v>
      </c>
      <c r="C8" s="4">
        <v>3032</v>
      </c>
      <c r="D8" s="4">
        <f t="shared" si="0"/>
        <v>713</v>
      </c>
      <c r="E8" s="1">
        <v>0.24</v>
      </c>
      <c r="F8" s="1" t="str">
        <f t="shared" si="1"/>
        <v>Medium</v>
      </c>
      <c r="G8">
        <v>55</v>
      </c>
      <c r="H8">
        <v>4.5999999999999996</v>
      </c>
      <c r="I8" t="str">
        <f t="shared" si="2"/>
        <v>Excellent</v>
      </c>
    </row>
    <row r="9" spans="1:9" x14ac:dyDescent="0.3">
      <c r="A9" t="s">
        <v>33</v>
      </c>
      <c r="B9" s="4">
        <v>988</v>
      </c>
      <c r="C9" s="4">
        <v>1580</v>
      </c>
      <c r="D9" s="4">
        <f t="shared" si="0"/>
        <v>592</v>
      </c>
      <c r="E9" s="1">
        <v>0.37</v>
      </c>
      <c r="F9" s="1" t="str">
        <f t="shared" si="1"/>
        <v>Medium</v>
      </c>
      <c r="G9">
        <v>2</v>
      </c>
      <c r="H9">
        <v>4</v>
      </c>
      <c r="I9" t="str">
        <f t="shared" si="2"/>
        <v>Average</v>
      </c>
    </row>
    <row r="10" spans="1:9" x14ac:dyDescent="0.3">
      <c r="A10" t="s">
        <v>35</v>
      </c>
      <c r="B10" s="4">
        <v>1274</v>
      </c>
      <c r="C10" s="4">
        <v>2800</v>
      </c>
      <c r="D10" s="4">
        <f t="shared" si="0"/>
        <v>1526</v>
      </c>
      <c r="E10" s="1">
        <v>0.55000000000000004</v>
      </c>
      <c r="F10" s="1" t="str">
        <f t="shared" si="1"/>
        <v>High</v>
      </c>
      <c r="G10">
        <v>5</v>
      </c>
      <c r="H10">
        <v>4.8</v>
      </c>
      <c r="I10" t="str">
        <f t="shared" si="2"/>
        <v>Excellent</v>
      </c>
    </row>
    <row r="11" spans="1:9" x14ac:dyDescent="0.3">
      <c r="A11" t="s">
        <v>38</v>
      </c>
      <c r="B11" s="4">
        <v>1600</v>
      </c>
      <c r="C11" s="4">
        <v>2929</v>
      </c>
      <c r="D11" s="4">
        <f t="shared" si="0"/>
        <v>1329</v>
      </c>
      <c r="E11" s="1">
        <v>0.45</v>
      </c>
      <c r="F11" s="1" t="str">
        <f t="shared" si="1"/>
        <v>High</v>
      </c>
      <c r="G11">
        <v>5</v>
      </c>
      <c r="H11">
        <v>3.8</v>
      </c>
      <c r="I11" t="str">
        <f t="shared" si="2"/>
        <v>Average</v>
      </c>
    </row>
    <row r="12" spans="1:9" x14ac:dyDescent="0.3">
      <c r="A12" t="s">
        <v>42</v>
      </c>
      <c r="B12" s="4">
        <v>799</v>
      </c>
      <c r="C12" s="4">
        <v>999</v>
      </c>
      <c r="D12" s="4">
        <f t="shared" si="0"/>
        <v>200</v>
      </c>
      <c r="E12" s="1">
        <v>0.2</v>
      </c>
      <c r="F12" s="1" t="str">
        <f t="shared" si="1"/>
        <v>Medium</v>
      </c>
      <c r="G12">
        <v>12</v>
      </c>
      <c r="H12">
        <v>4.0999999999999996</v>
      </c>
      <c r="I12" t="str">
        <f t="shared" si="2"/>
        <v>Average</v>
      </c>
    </row>
    <row r="13" spans="1:9" x14ac:dyDescent="0.3">
      <c r="A13" t="s">
        <v>44</v>
      </c>
      <c r="B13" s="4">
        <v>990</v>
      </c>
      <c r="C13" s="4">
        <v>1500</v>
      </c>
      <c r="D13" s="4">
        <f t="shared" si="0"/>
        <v>510</v>
      </c>
      <c r="E13" s="1">
        <v>0.34</v>
      </c>
      <c r="F13" s="1" t="str">
        <f t="shared" si="1"/>
        <v>Medium</v>
      </c>
      <c r="G13">
        <v>39</v>
      </c>
      <c r="H13">
        <v>4.7</v>
      </c>
      <c r="I13" t="str">
        <f t="shared" si="2"/>
        <v>Excellent</v>
      </c>
    </row>
    <row r="14" spans="1:9" x14ac:dyDescent="0.3">
      <c r="A14" t="s">
        <v>47</v>
      </c>
      <c r="B14" s="4">
        <v>552</v>
      </c>
      <c r="C14" s="4">
        <v>1035</v>
      </c>
      <c r="D14" s="4">
        <f t="shared" si="0"/>
        <v>483</v>
      </c>
      <c r="E14" s="1">
        <v>0.47</v>
      </c>
      <c r="F14" s="1" t="str">
        <f t="shared" si="1"/>
        <v>High</v>
      </c>
      <c r="G14">
        <v>12</v>
      </c>
      <c r="H14">
        <v>4.8</v>
      </c>
      <c r="I14" t="str">
        <f t="shared" si="2"/>
        <v>Excellent</v>
      </c>
    </row>
    <row r="15" spans="1:9" x14ac:dyDescent="0.3">
      <c r="A15" t="s">
        <v>50</v>
      </c>
      <c r="B15" s="4">
        <v>501</v>
      </c>
      <c r="C15" s="4">
        <v>860</v>
      </c>
      <c r="D15" s="4">
        <f t="shared" si="0"/>
        <v>359</v>
      </c>
      <c r="E15" s="1">
        <v>0.42</v>
      </c>
      <c r="F15" s="1" t="str">
        <f t="shared" si="1"/>
        <v>High</v>
      </c>
      <c r="G15">
        <v>6</v>
      </c>
      <c r="H15">
        <v>4.5</v>
      </c>
      <c r="I15" t="str">
        <f t="shared" si="2"/>
        <v>Excellent</v>
      </c>
    </row>
    <row r="16" spans="1:9" x14ac:dyDescent="0.3">
      <c r="A16" t="s">
        <v>53</v>
      </c>
      <c r="B16" s="4">
        <v>1680</v>
      </c>
      <c r="C16" s="4">
        <v>2499</v>
      </c>
      <c r="D16" s="4">
        <f t="shared" si="0"/>
        <v>819</v>
      </c>
      <c r="E16" s="1">
        <v>0.33</v>
      </c>
      <c r="F16" s="1" t="str">
        <f t="shared" si="1"/>
        <v>Medium</v>
      </c>
      <c r="G16">
        <v>9</v>
      </c>
      <c r="H16">
        <v>4.2</v>
      </c>
      <c r="I16" t="str">
        <f t="shared" si="2"/>
        <v>Average</v>
      </c>
    </row>
    <row r="17" spans="1:9" x14ac:dyDescent="0.3">
      <c r="A17" t="s">
        <v>56</v>
      </c>
      <c r="B17" s="4">
        <v>332</v>
      </c>
      <c r="C17" s="4">
        <v>684</v>
      </c>
      <c r="D17" s="4">
        <f t="shared" si="0"/>
        <v>352</v>
      </c>
      <c r="E17" s="1">
        <v>0.51</v>
      </c>
      <c r="F17" s="1" t="str">
        <f t="shared" si="1"/>
        <v>High</v>
      </c>
      <c r="G17">
        <v>2</v>
      </c>
      <c r="H17">
        <v>5</v>
      </c>
      <c r="I17" t="str">
        <f t="shared" si="2"/>
        <v>Excellent</v>
      </c>
    </row>
    <row r="18" spans="1:9" x14ac:dyDescent="0.3">
      <c r="A18" t="s">
        <v>60</v>
      </c>
      <c r="B18" s="4">
        <v>195</v>
      </c>
      <c r="C18" s="4">
        <v>360</v>
      </c>
      <c r="D18" s="4">
        <f t="shared" si="0"/>
        <v>165</v>
      </c>
      <c r="E18" s="1">
        <v>0.46</v>
      </c>
      <c r="F18" s="1" t="str">
        <f t="shared" si="1"/>
        <v>High</v>
      </c>
      <c r="G18">
        <v>2</v>
      </c>
      <c r="H18">
        <v>5</v>
      </c>
      <c r="I18" t="str">
        <f t="shared" si="2"/>
        <v>Excellent</v>
      </c>
    </row>
    <row r="19" spans="1:9" x14ac:dyDescent="0.3">
      <c r="A19" t="s">
        <v>63</v>
      </c>
      <c r="B19" s="4">
        <v>2025</v>
      </c>
      <c r="C19" s="4">
        <v>3971</v>
      </c>
      <c r="D19" s="4">
        <f t="shared" si="0"/>
        <v>1946</v>
      </c>
      <c r="E19" s="1">
        <v>0.49</v>
      </c>
      <c r="F19" s="1" t="str">
        <f t="shared" si="1"/>
        <v>High</v>
      </c>
      <c r="G19">
        <v>3</v>
      </c>
      <c r="H19">
        <v>5</v>
      </c>
      <c r="I19" t="str">
        <f t="shared" si="2"/>
        <v>Excellent</v>
      </c>
    </row>
    <row r="20" spans="1:9" x14ac:dyDescent="0.3">
      <c r="A20" t="s">
        <v>66</v>
      </c>
      <c r="B20" s="4">
        <v>2999</v>
      </c>
      <c r="C20" s="4">
        <v>3699</v>
      </c>
      <c r="D20" s="4">
        <f t="shared" si="0"/>
        <v>700</v>
      </c>
      <c r="E20" s="1">
        <v>0.19</v>
      </c>
      <c r="F20" s="1" t="str">
        <f t="shared" si="1"/>
        <v>Low</v>
      </c>
      <c r="G20">
        <v>5</v>
      </c>
      <c r="H20">
        <v>4.5999999999999996</v>
      </c>
      <c r="I20" t="str">
        <f t="shared" si="2"/>
        <v>Excellent</v>
      </c>
    </row>
    <row r="21" spans="1:9" x14ac:dyDescent="0.3">
      <c r="A21" t="s">
        <v>68</v>
      </c>
      <c r="B21" s="4">
        <v>998</v>
      </c>
      <c r="C21" s="4">
        <v>1966</v>
      </c>
      <c r="D21" s="4">
        <f t="shared" si="0"/>
        <v>968</v>
      </c>
      <c r="E21" s="1">
        <v>0.49</v>
      </c>
      <c r="F21" s="1" t="str">
        <f t="shared" si="1"/>
        <v>High</v>
      </c>
      <c r="G21">
        <v>44</v>
      </c>
      <c r="H21">
        <v>4.5999999999999996</v>
      </c>
      <c r="I21" t="str">
        <f t="shared" si="2"/>
        <v>Excellent</v>
      </c>
    </row>
    <row r="22" spans="1:9" x14ac:dyDescent="0.3">
      <c r="A22" t="s">
        <v>71</v>
      </c>
      <c r="B22" s="4">
        <v>38</v>
      </c>
      <c r="C22" s="4">
        <v>80</v>
      </c>
      <c r="D22" s="4">
        <f t="shared" si="0"/>
        <v>42</v>
      </c>
      <c r="E22" s="1">
        <v>0.53</v>
      </c>
      <c r="F22" s="1" t="str">
        <f t="shared" si="1"/>
        <v>High</v>
      </c>
      <c r="G22">
        <v>13</v>
      </c>
      <c r="H22">
        <v>3.3</v>
      </c>
      <c r="I22" t="str">
        <f t="shared" si="2"/>
        <v>Average</v>
      </c>
    </row>
    <row r="23" spans="1:9" x14ac:dyDescent="0.3">
      <c r="A23" t="s">
        <v>75</v>
      </c>
      <c r="B23" s="4">
        <v>1860</v>
      </c>
      <c r="C23" s="4">
        <v>3220</v>
      </c>
      <c r="D23" s="4">
        <f t="shared" si="0"/>
        <v>1360</v>
      </c>
      <c r="E23" s="1">
        <v>0.42</v>
      </c>
      <c r="F23" s="1" t="str">
        <f t="shared" si="1"/>
        <v>High</v>
      </c>
      <c r="G23">
        <v>0</v>
      </c>
      <c r="H23">
        <v>3.89</v>
      </c>
      <c r="I23" t="str">
        <f t="shared" si="2"/>
        <v>Average</v>
      </c>
    </row>
    <row r="24" spans="1:9" x14ac:dyDescent="0.3">
      <c r="A24" t="s">
        <v>78</v>
      </c>
      <c r="B24" s="4">
        <v>880</v>
      </c>
      <c r="C24" s="4">
        <v>1350</v>
      </c>
      <c r="D24" s="4">
        <f t="shared" si="0"/>
        <v>470</v>
      </c>
      <c r="E24" s="1">
        <v>0.35</v>
      </c>
      <c r="F24" s="1" t="str">
        <f t="shared" si="1"/>
        <v>Medium</v>
      </c>
      <c r="G24">
        <v>6</v>
      </c>
      <c r="H24">
        <v>4</v>
      </c>
      <c r="I24" t="str">
        <f t="shared" si="2"/>
        <v>Average</v>
      </c>
    </row>
    <row r="25" spans="1:9" x14ac:dyDescent="0.3">
      <c r="A25" t="s">
        <v>81</v>
      </c>
      <c r="B25" s="4">
        <v>1650</v>
      </c>
      <c r="C25" s="4">
        <v>2150</v>
      </c>
      <c r="D25" s="4">
        <f t="shared" si="0"/>
        <v>500</v>
      </c>
      <c r="E25" s="1">
        <v>0.23</v>
      </c>
      <c r="F25" s="1" t="str">
        <f t="shared" si="1"/>
        <v>Medium</v>
      </c>
      <c r="G25">
        <v>14</v>
      </c>
      <c r="H25">
        <v>4.4000000000000004</v>
      </c>
      <c r="I25" t="str">
        <f t="shared" si="2"/>
        <v>Average</v>
      </c>
    </row>
    <row r="26" spans="1:9" x14ac:dyDescent="0.3">
      <c r="A26" t="s">
        <v>85</v>
      </c>
      <c r="B26" s="4">
        <v>2048</v>
      </c>
      <c r="C26" s="4">
        <v>4500</v>
      </c>
      <c r="D26" s="4">
        <f t="shared" si="0"/>
        <v>2452</v>
      </c>
      <c r="E26" s="1">
        <v>0.54</v>
      </c>
      <c r="F26" s="1" t="str">
        <f t="shared" si="1"/>
        <v>High</v>
      </c>
      <c r="G26">
        <v>7</v>
      </c>
      <c r="H26">
        <v>4.3</v>
      </c>
      <c r="I26" t="str">
        <f t="shared" si="2"/>
        <v>Average</v>
      </c>
    </row>
    <row r="27" spans="1:9" x14ac:dyDescent="0.3">
      <c r="A27" t="s">
        <v>89</v>
      </c>
      <c r="B27" s="4">
        <v>420</v>
      </c>
      <c r="C27" s="4">
        <v>647</v>
      </c>
      <c r="D27" s="4">
        <f t="shared" si="0"/>
        <v>227</v>
      </c>
      <c r="E27" s="1">
        <v>0.35</v>
      </c>
      <c r="F27" s="1" t="str">
        <f t="shared" si="1"/>
        <v>Medium</v>
      </c>
      <c r="G27">
        <v>49</v>
      </c>
      <c r="H27">
        <v>4.5999999999999996</v>
      </c>
      <c r="I27" t="str">
        <f t="shared" si="2"/>
        <v>Excellent</v>
      </c>
    </row>
    <row r="28" spans="1:9" x14ac:dyDescent="0.3">
      <c r="A28" t="s">
        <v>92</v>
      </c>
      <c r="B28" s="4">
        <v>2880</v>
      </c>
      <c r="C28" s="4">
        <v>3520</v>
      </c>
      <c r="D28" s="4">
        <f t="shared" si="0"/>
        <v>640</v>
      </c>
      <c r="E28" s="1">
        <v>0.18</v>
      </c>
      <c r="F28" s="1" t="str">
        <f t="shared" si="1"/>
        <v>Low</v>
      </c>
      <c r="G28">
        <v>12</v>
      </c>
      <c r="H28">
        <v>3.8</v>
      </c>
      <c r="I28" t="str">
        <f t="shared" si="2"/>
        <v>Average</v>
      </c>
    </row>
    <row r="29" spans="1:9" x14ac:dyDescent="0.3">
      <c r="A29" t="s">
        <v>95</v>
      </c>
      <c r="B29" s="4">
        <v>1350</v>
      </c>
      <c r="C29" s="4">
        <v>1990</v>
      </c>
      <c r="D29" s="4">
        <f t="shared" si="0"/>
        <v>640</v>
      </c>
      <c r="E29" s="1">
        <v>0.32</v>
      </c>
      <c r="F29" s="1" t="str">
        <f t="shared" si="1"/>
        <v>Medium</v>
      </c>
      <c r="G29">
        <v>13</v>
      </c>
      <c r="H29">
        <v>3.8</v>
      </c>
      <c r="I29" t="str">
        <f t="shared" si="2"/>
        <v>Average</v>
      </c>
    </row>
    <row r="30" spans="1:9" x14ac:dyDescent="0.3">
      <c r="A30" t="s">
        <v>97</v>
      </c>
      <c r="B30" s="4">
        <v>1758</v>
      </c>
      <c r="C30" s="4">
        <v>2499</v>
      </c>
      <c r="D30" s="4">
        <f t="shared" si="0"/>
        <v>741</v>
      </c>
      <c r="E30" s="1">
        <v>0.3</v>
      </c>
      <c r="F30" s="1" t="str">
        <f t="shared" si="1"/>
        <v>Medium</v>
      </c>
      <c r="G30">
        <v>20</v>
      </c>
      <c r="H30">
        <v>4.0999999999999996</v>
      </c>
      <c r="I30" t="str">
        <f t="shared" si="2"/>
        <v>Average</v>
      </c>
    </row>
    <row r="31" spans="1:9" x14ac:dyDescent="0.3">
      <c r="A31" t="s">
        <v>99</v>
      </c>
      <c r="B31" s="4">
        <v>2200</v>
      </c>
      <c r="C31" s="4">
        <v>4080</v>
      </c>
      <c r="D31" s="4">
        <f t="shared" si="0"/>
        <v>1880</v>
      </c>
      <c r="E31" s="1">
        <v>0.46</v>
      </c>
      <c r="F31" s="1" t="str">
        <f t="shared" si="1"/>
        <v>High</v>
      </c>
      <c r="G31">
        <v>0</v>
      </c>
      <c r="H31">
        <v>3.89</v>
      </c>
      <c r="I31" t="str">
        <f t="shared" si="2"/>
        <v>Average</v>
      </c>
    </row>
    <row r="32" spans="1:9" x14ac:dyDescent="0.3">
      <c r="A32" t="s">
        <v>102</v>
      </c>
      <c r="B32" s="4">
        <v>185</v>
      </c>
      <c r="C32" s="4">
        <v>382</v>
      </c>
      <c r="D32" s="4">
        <f t="shared" si="0"/>
        <v>197</v>
      </c>
      <c r="E32" s="1">
        <v>0.52</v>
      </c>
      <c r="F32" s="1" t="str">
        <f t="shared" si="1"/>
        <v>High</v>
      </c>
      <c r="G32">
        <v>9</v>
      </c>
      <c r="H32">
        <v>4.3</v>
      </c>
      <c r="I32" t="str">
        <f t="shared" si="2"/>
        <v>Average</v>
      </c>
    </row>
    <row r="33" spans="1:9" x14ac:dyDescent="0.3">
      <c r="A33" t="s">
        <v>105</v>
      </c>
      <c r="B33" s="4">
        <v>980</v>
      </c>
      <c r="C33" s="4">
        <v>1490</v>
      </c>
      <c r="D33" s="4">
        <f t="shared" si="0"/>
        <v>510</v>
      </c>
      <c r="E33" s="1">
        <v>0.34</v>
      </c>
      <c r="F33" s="1" t="str">
        <f t="shared" si="1"/>
        <v>Medium</v>
      </c>
      <c r="G33">
        <v>12</v>
      </c>
      <c r="H33">
        <v>4.7</v>
      </c>
      <c r="I33" t="str">
        <f t="shared" si="2"/>
        <v>Excellent</v>
      </c>
    </row>
    <row r="34" spans="1:9" x14ac:dyDescent="0.3">
      <c r="A34" t="s">
        <v>108</v>
      </c>
      <c r="B34" s="4">
        <v>1820</v>
      </c>
      <c r="C34" s="4">
        <v>3490</v>
      </c>
      <c r="D34" s="4">
        <f t="shared" ref="D34:D65" si="3">C34-B34</f>
        <v>1670</v>
      </c>
      <c r="E34" s="1">
        <v>0.48</v>
      </c>
      <c r="F34" s="1" t="str">
        <f t="shared" si="1"/>
        <v>High</v>
      </c>
      <c r="G34">
        <v>9</v>
      </c>
      <c r="H34">
        <v>4.3</v>
      </c>
      <c r="I34" t="str">
        <f t="shared" si="2"/>
        <v>Average</v>
      </c>
    </row>
    <row r="35" spans="1:9" x14ac:dyDescent="0.3">
      <c r="A35" t="s">
        <v>111</v>
      </c>
      <c r="B35" s="4">
        <v>1940</v>
      </c>
      <c r="C35" s="4">
        <v>2650</v>
      </c>
      <c r="D35" s="4">
        <f t="shared" si="3"/>
        <v>710</v>
      </c>
      <c r="E35" s="1">
        <v>0.27</v>
      </c>
      <c r="F35" s="1" t="str">
        <f t="shared" si="1"/>
        <v>Medium</v>
      </c>
      <c r="G35">
        <v>20</v>
      </c>
      <c r="H35">
        <v>4.7</v>
      </c>
      <c r="I35" t="str">
        <f t="shared" si="2"/>
        <v>Excellent</v>
      </c>
    </row>
    <row r="36" spans="1:9" x14ac:dyDescent="0.3">
      <c r="A36" t="s">
        <v>114</v>
      </c>
      <c r="B36" s="4">
        <v>1980</v>
      </c>
      <c r="C36" s="4">
        <v>2699</v>
      </c>
      <c r="D36" s="4">
        <f t="shared" si="3"/>
        <v>719</v>
      </c>
      <c r="E36" s="1">
        <v>0.27</v>
      </c>
      <c r="F36" s="1" t="str">
        <f t="shared" si="1"/>
        <v>Medium</v>
      </c>
      <c r="G36">
        <v>32</v>
      </c>
      <c r="H36">
        <v>4.5</v>
      </c>
      <c r="I36" t="str">
        <f t="shared" si="2"/>
        <v>Excellent</v>
      </c>
    </row>
    <row r="37" spans="1:9" x14ac:dyDescent="0.3">
      <c r="A37" t="s">
        <v>117</v>
      </c>
      <c r="B37" s="4">
        <v>1620</v>
      </c>
      <c r="C37" s="4">
        <v>2690</v>
      </c>
      <c r="D37" s="4">
        <f t="shared" si="3"/>
        <v>1070</v>
      </c>
      <c r="E37" s="1">
        <v>0.4</v>
      </c>
      <c r="F37" s="1" t="str">
        <f t="shared" si="1"/>
        <v>Medium</v>
      </c>
      <c r="G37">
        <v>1</v>
      </c>
      <c r="H37">
        <v>5</v>
      </c>
      <c r="I37" t="str">
        <f t="shared" si="2"/>
        <v>Excellent</v>
      </c>
    </row>
    <row r="38" spans="1:9" x14ac:dyDescent="0.3">
      <c r="A38" t="s">
        <v>120</v>
      </c>
      <c r="B38" s="4">
        <v>171</v>
      </c>
      <c r="C38" s="4">
        <v>360</v>
      </c>
      <c r="D38" s="4">
        <f t="shared" si="3"/>
        <v>189</v>
      </c>
      <c r="E38" s="1">
        <v>0.53</v>
      </c>
      <c r="F38" s="1" t="str">
        <f t="shared" si="1"/>
        <v>High</v>
      </c>
      <c r="G38">
        <v>2</v>
      </c>
      <c r="H38">
        <v>5</v>
      </c>
      <c r="I38" t="str">
        <f t="shared" si="2"/>
        <v>Excellent</v>
      </c>
    </row>
    <row r="39" spans="1:9" x14ac:dyDescent="0.3">
      <c r="A39" t="s">
        <v>122</v>
      </c>
      <c r="B39" s="4">
        <v>389</v>
      </c>
      <c r="C39" s="4">
        <v>656</v>
      </c>
      <c r="D39" s="4">
        <f t="shared" si="3"/>
        <v>267</v>
      </c>
      <c r="E39" s="1">
        <v>0.41</v>
      </c>
      <c r="F39" s="1" t="str">
        <f t="shared" si="1"/>
        <v>High</v>
      </c>
      <c r="G39">
        <v>36</v>
      </c>
      <c r="H39">
        <v>4.3</v>
      </c>
      <c r="I39" t="str">
        <f t="shared" si="2"/>
        <v>Average</v>
      </c>
    </row>
    <row r="40" spans="1:9" x14ac:dyDescent="0.3">
      <c r="A40" t="s">
        <v>125</v>
      </c>
      <c r="B40" s="4">
        <v>1800</v>
      </c>
      <c r="C40" s="4">
        <v>2700</v>
      </c>
      <c r="D40" s="4">
        <f t="shared" si="3"/>
        <v>900</v>
      </c>
      <c r="E40" s="1">
        <v>0.38</v>
      </c>
      <c r="F40" s="1" t="str">
        <f t="shared" si="1"/>
        <v>Medium</v>
      </c>
      <c r="G40">
        <v>2</v>
      </c>
      <c r="H40">
        <v>4.5</v>
      </c>
      <c r="I40" t="str">
        <f t="shared" si="2"/>
        <v>Excellent</v>
      </c>
    </row>
    <row r="41" spans="1:9" x14ac:dyDescent="0.3">
      <c r="A41" t="s">
        <v>128</v>
      </c>
      <c r="B41" s="4">
        <v>2750</v>
      </c>
      <c r="C41" s="4">
        <v>4471</v>
      </c>
      <c r="D41" s="4">
        <f t="shared" si="3"/>
        <v>1721</v>
      </c>
      <c r="E41" s="1">
        <v>0.38</v>
      </c>
      <c r="F41" s="1" t="str">
        <f t="shared" si="1"/>
        <v>Medium</v>
      </c>
      <c r="G41">
        <v>0</v>
      </c>
      <c r="H41">
        <v>3.89</v>
      </c>
      <c r="I41" t="str">
        <f t="shared" si="2"/>
        <v>Average</v>
      </c>
    </row>
    <row r="42" spans="1:9" x14ac:dyDescent="0.3">
      <c r="A42" t="s">
        <v>131</v>
      </c>
      <c r="B42" s="4">
        <v>475</v>
      </c>
      <c r="C42" s="4">
        <v>931</v>
      </c>
      <c r="D42" s="4">
        <f t="shared" si="3"/>
        <v>456</v>
      </c>
      <c r="E42" s="1">
        <v>0.49</v>
      </c>
      <c r="F42" s="1" t="str">
        <f t="shared" si="1"/>
        <v>High</v>
      </c>
      <c r="G42">
        <v>0</v>
      </c>
      <c r="H42">
        <v>3.89</v>
      </c>
      <c r="I42" t="str">
        <f t="shared" si="2"/>
        <v>Average</v>
      </c>
    </row>
    <row r="43" spans="1:9" x14ac:dyDescent="0.3">
      <c r="A43" t="s">
        <v>134</v>
      </c>
      <c r="B43" s="4">
        <v>238</v>
      </c>
      <c r="C43" s="4">
        <v>476</v>
      </c>
      <c r="D43" s="4">
        <f t="shared" si="3"/>
        <v>238</v>
      </c>
      <c r="E43" s="1">
        <v>0.5</v>
      </c>
      <c r="F43" s="1" t="str">
        <f t="shared" si="1"/>
        <v>High</v>
      </c>
      <c r="G43">
        <v>0</v>
      </c>
      <c r="H43">
        <v>3.89</v>
      </c>
      <c r="I43" t="str">
        <f t="shared" si="2"/>
        <v>Average</v>
      </c>
    </row>
    <row r="44" spans="1:9" x14ac:dyDescent="0.3">
      <c r="A44" t="s">
        <v>137</v>
      </c>
      <c r="B44" s="4">
        <v>610</v>
      </c>
      <c r="C44" s="4">
        <v>1060</v>
      </c>
      <c r="D44" s="4">
        <f t="shared" si="3"/>
        <v>450</v>
      </c>
      <c r="E44" s="1">
        <v>0.42</v>
      </c>
      <c r="F44" s="1" t="str">
        <f t="shared" si="1"/>
        <v>High</v>
      </c>
      <c r="G44">
        <v>0</v>
      </c>
      <c r="H44">
        <v>3.89</v>
      </c>
      <c r="I44" t="str">
        <f t="shared" si="2"/>
        <v>Average</v>
      </c>
    </row>
    <row r="45" spans="1:9" x14ac:dyDescent="0.3">
      <c r="A45" t="s">
        <v>137</v>
      </c>
      <c r="B45" s="4">
        <v>610</v>
      </c>
      <c r="C45" s="4">
        <v>1060</v>
      </c>
      <c r="D45" s="4">
        <f t="shared" si="3"/>
        <v>450</v>
      </c>
      <c r="E45" s="1">
        <v>0.42</v>
      </c>
      <c r="F45" s="1" t="str">
        <f t="shared" si="1"/>
        <v>High</v>
      </c>
      <c r="G45">
        <v>0</v>
      </c>
      <c r="H45">
        <v>3.89</v>
      </c>
      <c r="I45" t="str">
        <f t="shared" si="2"/>
        <v>Average</v>
      </c>
    </row>
    <row r="46" spans="1:9" x14ac:dyDescent="0.3">
      <c r="A46" t="s">
        <v>140</v>
      </c>
      <c r="B46" s="4">
        <v>2132</v>
      </c>
      <c r="C46" s="4">
        <v>2169</v>
      </c>
      <c r="D46" s="4">
        <f t="shared" si="3"/>
        <v>37</v>
      </c>
      <c r="E46" s="1">
        <v>0.02</v>
      </c>
      <c r="F46" s="1" t="str">
        <f t="shared" si="1"/>
        <v>Low</v>
      </c>
      <c r="G46">
        <v>0</v>
      </c>
      <c r="H46">
        <v>3.89</v>
      </c>
      <c r="I46" t="str">
        <f t="shared" si="2"/>
        <v>Average</v>
      </c>
    </row>
    <row r="47" spans="1:9" x14ac:dyDescent="0.3">
      <c r="A47" t="s">
        <v>143</v>
      </c>
      <c r="B47" s="4">
        <v>999</v>
      </c>
      <c r="C47" s="4">
        <v>2000</v>
      </c>
      <c r="D47" s="4">
        <f t="shared" si="3"/>
        <v>1001</v>
      </c>
      <c r="E47" s="1">
        <v>0.5</v>
      </c>
      <c r="F47" s="1" t="str">
        <f t="shared" si="1"/>
        <v>High</v>
      </c>
      <c r="G47">
        <v>0</v>
      </c>
      <c r="H47">
        <v>3.89</v>
      </c>
      <c r="I47" t="str">
        <f t="shared" si="2"/>
        <v>Average</v>
      </c>
    </row>
    <row r="48" spans="1:9" x14ac:dyDescent="0.3">
      <c r="A48" t="s">
        <v>145</v>
      </c>
      <c r="B48" s="4">
        <v>1190</v>
      </c>
      <c r="C48" s="4">
        <v>1785</v>
      </c>
      <c r="D48" s="4">
        <f t="shared" si="3"/>
        <v>595</v>
      </c>
      <c r="E48" s="1">
        <v>0.33</v>
      </c>
      <c r="F48" s="1" t="str">
        <f t="shared" si="1"/>
        <v>Medium</v>
      </c>
      <c r="G48">
        <v>0</v>
      </c>
      <c r="H48">
        <v>3.89</v>
      </c>
      <c r="I48" t="str">
        <f t="shared" si="2"/>
        <v>Average</v>
      </c>
    </row>
    <row r="49" spans="1:9" x14ac:dyDescent="0.3">
      <c r="A49" t="s">
        <v>148</v>
      </c>
      <c r="B49" s="4">
        <v>671</v>
      </c>
      <c r="C49" s="4">
        <v>1316</v>
      </c>
      <c r="D49" s="4">
        <f t="shared" si="3"/>
        <v>645</v>
      </c>
      <c r="E49" s="1">
        <v>0.49</v>
      </c>
      <c r="F49" s="1" t="str">
        <f t="shared" si="1"/>
        <v>High</v>
      </c>
      <c r="G49">
        <v>0</v>
      </c>
      <c r="H49">
        <v>3.89</v>
      </c>
      <c r="I49" t="str">
        <f t="shared" si="2"/>
        <v>Average</v>
      </c>
    </row>
    <row r="50" spans="1:9" x14ac:dyDescent="0.3">
      <c r="A50" t="s">
        <v>151</v>
      </c>
      <c r="B50" s="4">
        <v>1200</v>
      </c>
      <c r="C50" s="4">
        <v>1950</v>
      </c>
      <c r="D50" s="4">
        <f t="shared" si="3"/>
        <v>750</v>
      </c>
      <c r="E50" s="1">
        <v>0.38</v>
      </c>
      <c r="F50" s="1" t="str">
        <f t="shared" si="1"/>
        <v>Medium</v>
      </c>
      <c r="G50">
        <v>0</v>
      </c>
      <c r="H50">
        <v>3.89</v>
      </c>
      <c r="I50" t="str">
        <f t="shared" si="2"/>
        <v>Average</v>
      </c>
    </row>
    <row r="51" spans="1:9" x14ac:dyDescent="0.3">
      <c r="A51" t="s">
        <v>154</v>
      </c>
      <c r="B51" s="4">
        <v>199</v>
      </c>
      <c r="C51" s="4">
        <v>504</v>
      </c>
      <c r="D51" s="4">
        <f t="shared" si="3"/>
        <v>305</v>
      </c>
      <c r="E51" s="1">
        <v>0.61</v>
      </c>
      <c r="F51" s="1" t="str">
        <f t="shared" si="1"/>
        <v>High</v>
      </c>
      <c r="G51">
        <v>0</v>
      </c>
      <c r="H51">
        <v>3.89</v>
      </c>
      <c r="I51" t="str">
        <f t="shared" si="2"/>
        <v>Average</v>
      </c>
    </row>
    <row r="52" spans="1:9" x14ac:dyDescent="0.3">
      <c r="A52" t="s">
        <v>157</v>
      </c>
      <c r="B52" s="4">
        <v>299</v>
      </c>
      <c r="C52" s="4">
        <v>600</v>
      </c>
      <c r="D52" s="4">
        <f t="shared" si="3"/>
        <v>301</v>
      </c>
      <c r="E52" s="1">
        <v>0.5</v>
      </c>
      <c r="F52" s="1" t="str">
        <f t="shared" si="1"/>
        <v>High</v>
      </c>
      <c r="G52">
        <v>0</v>
      </c>
      <c r="H52">
        <v>3.89</v>
      </c>
      <c r="I52" t="str">
        <f t="shared" si="2"/>
        <v>Average</v>
      </c>
    </row>
    <row r="53" spans="1:9" x14ac:dyDescent="0.3">
      <c r="A53" t="s">
        <v>160</v>
      </c>
      <c r="B53" s="4">
        <v>1660</v>
      </c>
      <c r="C53" s="4">
        <v>1699</v>
      </c>
      <c r="D53" s="4">
        <f t="shared" si="3"/>
        <v>39</v>
      </c>
      <c r="E53" s="1">
        <v>0.02</v>
      </c>
      <c r="F53" s="1" t="str">
        <f t="shared" si="1"/>
        <v>Low</v>
      </c>
      <c r="G53">
        <v>0</v>
      </c>
      <c r="H53">
        <v>3.89</v>
      </c>
      <c r="I53" t="str">
        <f t="shared" si="2"/>
        <v>Average</v>
      </c>
    </row>
    <row r="54" spans="1:9" x14ac:dyDescent="0.3">
      <c r="A54" t="s">
        <v>163</v>
      </c>
      <c r="B54" s="4">
        <v>299</v>
      </c>
      <c r="C54" s="4">
        <v>384</v>
      </c>
      <c r="D54" s="4">
        <f t="shared" si="3"/>
        <v>85</v>
      </c>
      <c r="E54" s="1">
        <v>0.22</v>
      </c>
      <c r="F54" s="1" t="str">
        <f t="shared" si="1"/>
        <v>Medium</v>
      </c>
      <c r="G54">
        <v>0</v>
      </c>
      <c r="H54">
        <v>3.89</v>
      </c>
      <c r="I54" t="str">
        <f t="shared" si="2"/>
        <v>Average</v>
      </c>
    </row>
    <row r="55" spans="1:9" x14ac:dyDescent="0.3">
      <c r="A55" t="s">
        <v>165</v>
      </c>
      <c r="B55" s="4">
        <v>1459</v>
      </c>
      <c r="C55" s="4">
        <v>1499</v>
      </c>
      <c r="D55" s="4">
        <f t="shared" si="3"/>
        <v>40</v>
      </c>
      <c r="E55" s="1">
        <v>0.03</v>
      </c>
      <c r="F55" s="1" t="str">
        <f t="shared" si="1"/>
        <v>Low</v>
      </c>
      <c r="G55">
        <v>0</v>
      </c>
      <c r="H55">
        <v>3.89</v>
      </c>
      <c r="I55" t="str">
        <f t="shared" si="2"/>
        <v>Average</v>
      </c>
    </row>
    <row r="56" spans="1:9" x14ac:dyDescent="0.3">
      <c r="A56" t="s">
        <v>168</v>
      </c>
      <c r="B56" s="4">
        <v>799</v>
      </c>
      <c r="C56" s="4">
        <v>1343</v>
      </c>
      <c r="D56" s="4">
        <f t="shared" si="3"/>
        <v>544</v>
      </c>
      <c r="E56" s="1">
        <v>0.41</v>
      </c>
      <c r="F56" s="1" t="str">
        <f t="shared" si="1"/>
        <v>High</v>
      </c>
      <c r="G56">
        <v>0</v>
      </c>
      <c r="H56">
        <v>3.89</v>
      </c>
      <c r="I56" t="str">
        <f t="shared" si="2"/>
        <v>Average</v>
      </c>
    </row>
    <row r="57" spans="1:9" x14ac:dyDescent="0.3">
      <c r="A57" t="s">
        <v>170</v>
      </c>
      <c r="B57" s="4">
        <v>499</v>
      </c>
      <c r="C57" s="4">
        <v>900</v>
      </c>
      <c r="D57" s="4">
        <f t="shared" si="3"/>
        <v>401</v>
      </c>
      <c r="E57" s="1">
        <v>0.45</v>
      </c>
      <c r="F57" s="1" t="str">
        <f t="shared" si="1"/>
        <v>High</v>
      </c>
      <c r="G57">
        <v>0</v>
      </c>
      <c r="H57">
        <v>3.89</v>
      </c>
      <c r="I57" t="str">
        <f t="shared" si="2"/>
        <v>Average</v>
      </c>
    </row>
    <row r="58" spans="1:9" x14ac:dyDescent="0.3">
      <c r="A58" t="s">
        <v>173</v>
      </c>
      <c r="B58" s="4">
        <v>699</v>
      </c>
      <c r="C58" s="4">
        <v>1343</v>
      </c>
      <c r="D58" s="4">
        <f t="shared" si="3"/>
        <v>644</v>
      </c>
      <c r="E58" s="1">
        <v>0.48</v>
      </c>
      <c r="F58" s="1" t="str">
        <f t="shared" si="1"/>
        <v>High</v>
      </c>
      <c r="G58">
        <v>0</v>
      </c>
      <c r="H58">
        <v>3.89</v>
      </c>
      <c r="I58" t="str">
        <f t="shared" si="2"/>
        <v>Average</v>
      </c>
    </row>
    <row r="59" spans="1:9" x14ac:dyDescent="0.3">
      <c r="A59" t="s">
        <v>175</v>
      </c>
      <c r="B59" s="4">
        <v>799</v>
      </c>
      <c r="C59" s="4">
        <v>1567</v>
      </c>
      <c r="D59" s="4">
        <f t="shared" si="3"/>
        <v>768</v>
      </c>
      <c r="E59" s="1">
        <v>0.49</v>
      </c>
      <c r="F59" s="1" t="str">
        <f t="shared" si="1"/>
        <v>High</v>
      </c>
      <c r="G59">
        <v>0</v>
      </c>
      <c r="H59">
        <v>3.89</v>
      </c>
      <c r="I59" t="str">
        <f t="shared" si="2"/>
        <v>Average</v>
      </c>
    </row>
    <row r="60" spans="1:9" x14ac:dyDescent="0.3">
      <c r="A60" t="s">
        <v>177</v>
      </c>
      <c r="B60" s="4">
        <v>2799</v>
      </c>
      <c r="C60" s="4">
        <v>3810</v>
      </c>
      <c r="D60" s="4">
        <f t="shared" si="3"/>
        <v>1011</v>
      </c>
      <c r="E60" s="1">
        <v>0.27</v>
      </c>
      <c r="F60" s="1" t="str">
        <f t="shared" si="1"/>
        <v>Medium</v>
      </c>
      <c r="G60">
        <v>0</v>
      </c>
      <c r="H60">
        <v>3.89</v>
      </c>
      <c r="I60" t="str">
        <f t="shared" si="2"/>
        <v>Average</v>
      </c>
    </row>
    <row r="61" spans="1:9" x14ac:dyDescent="0.3">
      <c r="A61" t="s">
        <v>170</v>
      </c>
      <c r="B61" s="4">
        <v>399</v>
      </c>
      <c r="C61" s="4">
        <v>896</v>
      </c>
      <c r="D61" s="4">
        <f t="shared" si="3"/>
        <v>497</v>
      </c>
      <c r="E61" s="1">
        <v>0.55000000000000004</v>
      </c>
      <c r="F61" s="1" t="str">
        <f t="shared" si="1"/>
        <v>High</v>
      </c>
      <c r="G61">
        <v>0</v>
      </c>
      <c r="H61">
        <v>3.89</v>
      </c>
      <c r="I61" t="str">
        <f t="shared" si="2"/>
        <v>Average</v>
      </c>
    </row>
    <row r="62" spans="1:9" x14ac:dyDescent="0.3">
      <c r="A62" t="s">
        <v>182</v>
      </c>
      <c r="B62" s="4">
        <v>2170</v>
      </c>
      <c r="C62" s="4">
        <v>2500</v>
      </c>
      <c r="D62" s="4">
        <f t="shared" si="3"/>
        <v>330</v>
      </c>
      <c r="E62" s="1">
        <v>0.13</v>
      </c>
      <c r="F62" s="1" t="str">
        <f t="shared" si="1"/>
        <v>Low</v>
      </c>
      <c r="G62">
        <v>6</v>
      </c>
      <c r="H62">
        <v>2.5</v>
      </c>
      <c r="I62" t="str">
        <f t="shared" si="2"/>
        <v>Poor</v>
      </c>
    </row>
    <row r="63" spans="1:9" x14ac:dyDescent="0.3">
      <c r="A63" t="s">
        <v>186</v>
      </c>
      <c r="B63" s="4">
        <v>458</v>
      </c>
      <c r="C63" s="4">
        <v>986</v>
      </c>
      <c r="D63" s="4">
        <f t="shared" si="3"/>
        <v>528</v>
      </c>
      <c r="E63" s="1">
        <v>0.54</v>
      </c>
      <c r="F63" s="1" t="str">
        <f t="shared" si="1"/>
        <v>High</v>
      </c>
      <c r="G63">
        <v>10</v>
      </c>
      <c r="H63">
        <v>3</v>
      </c>
      <c r="I63" t="str">
        <f t="shared" si="2"/>
        <v>Average</v>
      </c>
    </row>
    <row r="64" spans="1:9" x14ac:dyDescent="0.3">
      <c r="A64" t="s">
        <v>190</v>
      </c>
      <c r="B64" s="4">
        <v>2115</v>
      </c>
      <c r="C64" s="4">
        <v>4700</v>
      </c>
      <c r="D64" s="4">
        <f t="shared" si="3"/>
        <v>2585</v>
      </c>
      <c r="E64" s="1">
        <v>0.55000000000000004</v>
      </c>
      <c r="F64" s="1" t="str">
        <f t="shared" si="1"/>
        <v>High</v>
      </c>
      <c r="G64">
        <v>13</v>
      </c>
      <c r="H64">
        <v>2.1</v>
      </c>
      <c r="I64" t="str">
        <f t="shared" si="2"/>
        <v>Poor</v>
      </c>
    </row>
    <row r="65" spans="1:9" x14ac:dyDescent="0.3">
      <c r="A65" t="s">
        <v>194</v>
      </c>
      <c r="B65" s="4">
        <v>445</v>
      </c>
      <c r="C65" s="4">
        <v>873</v>
      </c>
      <c r="D65" s="4">
        <f t="shared" si="3"/>
        <v>428</v>
      </c>
      <c r="E65" s="1">
        <v>0.49</v>
      </c>
      <c r="F65" s="1" t="str">
        <f t="shared" si="1"/>
        <v>High</v>
      </c>
      <c r="G65">
        <v>69</v>
      </c>
      <c r="H65">
        <v>2.8</v>
      </c>
      <c r="I65" t="str">
        <f t="shared" si="2"/>
        <v>Poor</v>
      </c>
    </row>
    <row r="66" spans="1:9" x14ac:dyDescent="0.3">
      <c r="A66" t="s">
        <v>198</v>
      </c>
      <c r="B66" s="4">
        <v>325</v>
      </c>
      <c r="C66" s="4">
        <v>680</v>
      </c>
      <c r="D66" s="4">
        <f t="shared" ref="D66:D97" si="4">C66-B66</f>
        <v>355</v>
      </c>
      <c r="E66" s="1">
        <v>0.52</v>
      </c>
      <c r="F66" s="1" t="str">
        <f t="shared" si="1"/>
        <v>High</v>
      </c>
      <c r="G66">
        <v>15</v>
      </c>
      <c r="H66">
        <v>2.7</v>
      </c>
      <c r="I66" t="str">
        <f t="shared" si="2"/>
        <v>Poor</v>
      </c>
    </row>
    <row r="67" spans="1:9" x14ac:dyDescent="0.3">
      <c r="A67" t="s">
        <v>202</v>
      </c>
      <c r="B67" s="4">
        <v>1220</v>
      </c>
      <c r="C67" s="4">
        <v>1555</v>
      </c>
      <c r="D67" s="4">
        <f t="shared" si="4"/>
        <v>335</v>
      </c>
      <c r="E67" s="1">
        <v>0.22</v>
      </c>
      <c r="F67" s="1" t="str">
        <f t="shared" ref="F67:F116" si="5">IF(E67&lt;20%,"Low",IF(E67&gt;40%,"High","Medium"))</f>
        <v>Medium</v>
      </c>
      <c r="G67">
        <v>16</v>
      </c>
      <c r="H67">
        <v>2.9</v>
      </c>
      <c r="I67" t="str">
        <f t="shared" ref="I67:I116" si="6">IF(H67&lt;3,"Poor",IF(H67&gt;=4.5,"Excellent","Average"))</f>
        <v>Poor</v>
      </c>
    </row>
    <row r="68" spans="1:9" x14ac:dyDescent="0.3">
      <c r="A68" t="s">
        <v>206</v>
      </c>
      <c r="B68" s="4">
        <v>990</v>
      </c>
      <c r="C68" s="4">
        <v>1814</v>
      </c>
      <c r="D68" s="4">
        <f t="shared" si="4"/>
        <v>824</v>
      </c>
      <c r="E68" s="1">
        <v>0.45</v>
      </c>
      <c r="F68" s="1" t="str">
        <f t="shared" si="5"/>
        <v>High</v>
      </c>
      <c r="G68">
        <v>6</v>
      </c>
      <c r="H68">
        <v>2.2000000000000002</v>
      </c>
      <c r="I68" t="str">
        <f t="shared" si="6"/>
        <v>Poor</v>
      </c>
    </row>
    <row r="69" spans="1:9" x14ac:dyDescent="0.3">
      <c r="A69" t="s">
        <v>209</v>
      </c>
      <c r="B69" s="4">
        <v>1000</v>
      </c>
      <c r="C69" s="4">
        <v>2000</v>
      </c>
      <c r="D69" s="4">
        <f t="shared" si="4"/>
        <v>1000</v>
      </c>
      <c r="E69" s="1">
        <v>0.5</v>
      </c>
      <c r="F69" s="1" t="str">
        <f t="shared" si="5"/>
        <v>High</v>
      </c>
      <c r="G69">
        <v>7</v>
      </c>
      <c r="H69">
        <v>2.2999999999999998</v>
      </c>
      <c r="I69" t="str">
        <f t="shared" si="6"/>
        <v>Poor</v>
      </c>
    </row>
    <row r="70" spans="1:9" x14ac:dyDescent="0.3">
      <c r="A70" t="s">
        <v>212</v>
      </c>
      <c r="B70" s="4">
        <v>3750</v>
      </c>
      <c r="C70" s="4">
        <v>6143</v>
      </c>
      <c r="D70" s="4">
        <f t="shared" si="4"/>
        <v>2393</v>
      </c>
      <c r="E70" s="1">
        <v>0.39</v>
      </c>
      <c r="F70" s="1" t="str">
        <f t="shared" si="5"/>
        <v>Medium</v>
      </c>
      <c r="G70">
        <v>5</v>
      </c>
      <c r="H70">
        <v>3</v>
      </c>
      <c r="I70" t="str">
        <f t="shared" si="6"/>
        <v>Average</v>
      </c>
    </row>
    <row r="71" spans="1:9" x14ac:dyDescent="0.3">
      <c r="A71" t="s">
        <v>215</v>
      </c>
      <c r="B71" s="4">
        <v>382</v>
      </c>
      <c r="C71" s="4">
        <v>700</v>
      </c>
      <c r="D71" s="4">
        <f t="shared" si="4"/>
        <v>318</v>
      </c>
      <c r="E71" s="1">
        <v>0.45</v>
      </c>
      <c r="F71" s="1" t="str">
        <f t="shared" si="5"/>
        <v>High</v>
      </c>
      <c r="G71">
        <v>17</v>
      </c>
      <c r="H71">
        <v>2.6</v>
      </c>
      <c r="I71" t="str">
        <f t="shared" si="6"/>
        <v>Poor</v>
      </c>
    </row>
    <row r="72" spans="1:9" x14ac:dyDescent="0.3">
      <c r="A72" t="s">
        <v>218</v>
      </c>
      <c r="B72" s="4">
        <v>2300</v>
      </c>
      <c r="C72" s="4">
        <v>3240</v>
      </c>
      <c r="D72" s="4">
        <f t="shared" si="4"/>
        <v>940</v>
      </c>
      <c r="E72" s="1">
        <v>0.28999999999999998</v>
      </c>
      <c r="F72" s="1" t="str">
        <f t="shared" si="5"/>
        <v>Medium</v>
      </c>
      <c r="G72">
        <v>5</v>
      </c>
      <c r="H72">
        <v>3</v>
      </c>
      <c r="I72" t="str">
        <f t="shared" si="6"/>
        <v>Average</v>
      </c>
    </row>
    <row r="73" spans="1:9" x14ac:dyDescent="0.3">
      <c r="A73" t="s">
        <v>221</v>
      </c>
      <c r="B73" s="4">
        <v>345</v>
      </c>
      <c r="C73" s="4">
        <v>602</v>
      </c>
      <c r="D73" s="4">
        <f t="shared" si="4"/>
        <v>257</v>
      </c>
      <c r="E73" s="1">
        <v>0.43</v>
      </c>
      <c r="F73" s="1" t="str">
        <f t="shared" si="5"/>
        <v>High</v>
      </c>
      <c r="G73">
        <v>6</v>
      </c>
      <c r="H73">
        <v>2.2999999999999998</v>
      </c>
      <c r="I73" t="str">
        <f t="shared" si="6"/>
        <v>Poor</v>
      </c>
    </row>
    <row r="74" spans="1:9" x14ac:dyDescent="0.3">
      <c r="A74" t="s">
        <v>224</v>
      </c>
      <c r="B74" s="4">
        <v>509</v>
      </c>
      <c r="C74" s="4">
        <v>899</v>
      </c>
      <c r="D74" s="4">
        <f t="shared" si="4"/>
        <v>390</v>
      </c>
      <c r="E74" s="1">
        <v>0.43</v>
      </c>
      <c r="F74" s="1" t="str">
        <f t="shared" si="5"/>
        <v>High</v>
      </c>
      <c r="G74">
        <v>5</v>
      </c>
      <c r="H74">
        <v>3</v>
      </c>
      <c r="I74" t="str">
        <f t="shared" si="6"/>
        <v>Average</v>
      </c>
    </row>
    <row r="75" spans="1:9" x14ac:dyDescent="0.3">
      <c r="A75" t="s">
        <v>227</v>
      </c>
      <c r="B75" s="4">
        <v>968</v>
      </c>
      <c r="C75" s="4">
        <v>1814</v>
      </c>
      <c r="D75" s="4">
        <f t="shared" si="4"/>
        <v>846</v>
      </c>
      <c r="E75" s="1">
        <v>0.47</v>
      </c>
      <c r="F75" s="1" t="str">
        <f t="shared" si="5"/>
        <v>High</v>
      </c>
      <c r="G75">
        <v>6</v>
      </c>
      <c r="H75">
        <v>2.2000000000000002</v>
      </c>
      <c r="I75" t="str">
        <f t="shared" si="6"/>
        <v>Poor</v>
      </c>
    </row>
    <row r="76" spans="1:9" x14ac:dyDescent="0.3">
      <c r="A76" t="s">
        <v>229</v>
      </c>
      <c r="B76" s="4">
        <v>1570</v>
      </c>
      <c r="C76" s="4">
        <v>2988</v>
      </c>
      <c r="D76" s="4">
        <f t="shared" si="4"/>
        <v>1418</v>
      </c>
      <c r="E76" s="1">
        <v>0.47</v>
      </c>
      <c r="F76" s="1" t="str">
        <f t="shared" si="5"/>
        <v>High</v>
      </c>
      <c r="G76">
        <v>7</v>
      </c>
      <c r="H76">
        <v>2.1</v>
      </c>
      <c r="I76" t="str">
        <f t="shared" si="6"/>
        <v>Poor</v>
      </c>
    </row>
    <row r="77" spans="1:9" x14ac:dyDescent="0.3">
      <c r="A77" t="s">
        <v>232</v>
      </c>
      <c r="B77" s="4">
        <v>790</v>
      </c>
      <c r="C77" s="4">
        <v>1485</v>
      </c>
      <c r="D77" s="4">
        <f t="shared" si="4"/>
        <v>695</v>
      </c>
      <c r="E77" s="1">
        <v>0.47</v>
      </c>
      <c r="F77" s="1" t="str">
        <f t="shared" si="5"/>
        <v>High</v>
      </c>
      <c r="G77">
        <v>0</v>
      </c>
      <c r="H77">
        <v>3.89</v>
      </c>
      <c r="I77" t="str">
        <f t="shared" si="6"/>
        <v>Average</v>
      </c>
    </row>
    <row r="78" spans="1:9" x14ac:dyDescent="0.3">
      <c r="A78" t="s">
        <v>235</v>
      </c>
      <c r="B78" s="4">
        <v>690</v>
      </c>
      <c r="C78" s="4">
        <v>1200</v>
      </c>
      <c r="D78" s="4">
        <f t="shared" si="4"/>
        <v>510</v>
      </c>
      <c r="E78" s="1">
        <v>0.43</v>
      </c>
      <c r="F78" s="1" t="str">
        <f t="shared" si="5"/>
        <v>High</v>
      </c>
      <c r="G78">
        <v>0</v>
      </c>
      <c r="H78">
        <v>3.89</v>
      </c>
      <c r="I78" t="str">
        <f t="shared" si="6"/>
        <v>Average</v>
      </c>
    </row>
    <row r="79" spans="1:9" x14ac:dyDescent="0.3">
      <c r="A79" t="s">
        <v>237</v>
      </c>
      <c r="B79" s="4">
        <v>1732</v>
      </c>
      <c r="C79" s="4">
        <v>1799</v>
      </c>
      <c r="D79" s="4">
        <f t="shared" si="4"/>
        <v>67</v>
      </c>
      <c r="E79" s="1">
        <v>0.04</v>
      </c>
      <c r="F79" s="1" t="str">
        <f t="shared" si="5"/>
        <v>Low</v>
      </c>
      <c r="G79">
        <v>0</v>
      </c>
      <c r="H79">
        <v>3.89</v>
      </c>
      <c r="I79" t="str">
        <f t="shared" si="6"/>
        <v>Average</v>
      </c>
    </row>
    <row r="80" spans="1:9" x14ac:dyDescent="0.3">
      <c r="A80" t="s">
        <v>240</v>
      </c>
      <c r="B80" s="4">
        <v>230</v>
      </c>
      <c r="C80" s="4">
        <v>450</v>
      </c>
      <c r="D80" s="4">
        <f t="shared" si="4"/>
        <v>220</v>
      </c>
      <c r="E80" s="1">
        <v>0.49</v>
      </c>
      <c r="F80" s="1" t="str">
        <f t="shared" si="5"/>
        <v>High</v>
      </c>
      <c r="G80">
        <v>0</v>
      </c>
      <c r="H80">
        <v>3.89</v>
      </c>
      <c r="I80" t="str">
        <f t="shared" si="6"/>
        <v>Average</v>
      </c>
    </row>
    <row r="81" spans="1:9" x14ac:dyDescent="0.3">
      <c r="A81" t="s">
        <v>243</v>
      </c>
      <c r="B81" s="4">
        <v>1189</v>
      </c>
      <c r="C81" s="4">
        <v>2199</v>
      </c>
      <c r="D81" s="4">
        <f t="shared" si="4"/>
        <v>1010</v>
      </c>
      <c r="E81" s="1">
        <v>0.46</v>
      </c>
      <c r="F81" s="1" t="str">
        <f t="shared" si="5"/>
        <v>High</v>
      </c>
      <c r="G81">
        <v>1</v>
      </c>
      <c r="H81">
        <v>3</v>
      </c>
      <c r="I81" t="str">
        <f t="shared" si="6"/>
        <v>Average</v>
      </c>
    </row>
    <row r="82" spans="1:9" x14ac:dyDescent="0.3">
      <c r="A82" t="s">
        <v>245</v>
      </c>
      <c r="B82" s="4">
        <v>979</v>
      </c>
      <c r="C82" s="4">
        <v>1920</v>
      </c>
      <c r="D82" s="4">
        <f t="shared" si="4"/>
        <v>941</v>
      </c>
      <c r="E82" s="1">
        <v>0.49</v>
      </c>
      <c r="F82" s="1" t="str">
        <f t="shared" si="5"/>
        <v>High</v>
      </c>
      <c r="G82">
        <v>1</v>
      </c>
      <c r="H82">
        <v>5</v>
      </c>
      <c r="I82" t="str">
        <f t="shared" si="6"/>
        <v>Excellent</v>
      </c>
    </row>
    <row r="83" spans="1:9" x14ac:dyDescent="0.3">
      <c r="A83" t="s">
        <v>248</v>
      </c>
      <c r="B83" s="4">
        <v>1460</v>
      </c>
      <c r="C83" s="4">
        <v>2290</v>
      </c>
      <c r="D83" s="4">
        <f t="shared" si="4"/>
        <v>830</v>
      </c>
      <c r="E83" s="1">
        <v>0.36</v>
      </c>
      <c r="F83" s="1" t="str">
        <f t="shared" si="5"/>
        <v>Medium</v>
      </c>
      <c r="G83">
        <v>0</v>
      </c>
      <c r="H83">
        <v>3.89</v>
      </c>
      <c r="I83" t="str">
        <f t="shared" si="6"/>
        <v>Average</v>
      </c>
    </row>
    <row r="84" spans="1:9" x14ac:dyDescent="0.3">
      <c r="A84" t="s">
        <v>251</v>
      </c>
      <c r="B84" s="4">
        <v>1666</v>
      </c>
      <c r="C84" s="4">
        <v>1699</v>
      </c>
      <c r="D84" s="4">
        <f t="shared" si="4"/>
        <v>33</v>
      </c>
      <c r="E84" s="1">
        <v>0.02</v>
      </c>
      <c r="F84" s="1" t="str">
        <f t="shared" si="5"/>
        <v>Low</v>
      </c>
      <c r="G84">
        <v>0</v>
      </c>
      <c r="H84">
        <v>3.89</v>
      </c>
      <c r="I84" t="str">
        <f t="shared" si="6"/>
        <v>Average</v>
      </c>
    </row>
    <row r="85" spans="1:9" x14ac:dyDescent="0.3">
      <c r="A85" t="s">
        <v>253</v>
      </c>
      <c r="B85" s="4">
        <v>330</v>
      </c>
      <c r="C85" s="4">
        <v>647</v>
      </c>
      <c r="D85" s="4">
        <f t="shared" si="4"/>
        <v>317</v>
      </c>
      <c r="E85" s="1">
        <v>0.49</v>
      </c>
      <c r="F85" s="1" t="str">
        <f t="shared" si="5"/>
        <v>High</v>
      </c>
      <c r="G85">
        <v>1</v>
      </c>
      <c r="H85">
        <v>4</v>
      </c>
      <c r="I85" t="str">
        <f t="shared" si="6"/>
        <v>Average</v>
      </c>
    </row>
    <row r="86" spans="1:9" x14ac:dyDescent="0.3">
      <c r="A86" t="s">
        <v>137</v>
      </c>
      <c r="B86" s="4">
        <v>610</v>
      </c>
      <c r="C86" s="4">
        <v>1060</v>
      </c>
      <c r="D86" s="4">
        <f t="shared" si="4"/>
        <v>450</v>
      </c>
      <c r="E86" s="1">
        <v>0.42</v>
      </c>
      <c r="F86" s="1" t="str">
        <f t="shared" si="5"/>
        <v>High</v>
      </c>
      <c r="G86">
        <v>0</v>
      </c>
      <c r="H86">
        <v>3.89</v>
      </c>
      <c r="I86" t="str">
        <f t="shared" si="6"/>
        <v>Average</v>
      </c>
    </row>
    <row r="87" spans="1:9" x14ac:dyDescent="0.3">
      <c r="A87" t="s">
        <v>154</v>
      </c>
      <c r="B87" s="4">
        <v>176</v>
      </c>
      <c r="C87" s="4">
        <v>345</v>
      </c>
      <c r="D87" s="4">
        <f t="shared" si="4"/>
        <v>169</v>
      </c>
      <c r="E87" s="1">
        <v>0.49</v>
      </c>
      <c r="F87" s="1" t="str">
        <f t="shared" si="5"/>
        <v>High</v>
      </c>
      <c r="G87">
        <v>0</v>
      </c>
      <c r="H87">
        <v>3.89</v>
      </c>
      <c r="I87" t="str">
        <f t="shared" si="6"/>
        <v>Average</v>
      </c>
    </row>
    <row r="88" spans="1:9" x14ac:dyDescent="0.3">
      <c r="A88" t="s">
        <v>256</v>
      </c>
      <c r="B88" s="4">
        <v>1466</v>
      </c>
      <c r="C88" s="4">
        <v>1699</v>
      </c>
      <c r="D88" s="4">
        <f t="shared" si="4"/>
        <v>233</v>
      </c>
      <c r="E88" s="1">
        <v>0.14000000000000001</v>
      </c>
      <c r="F88" s="1" t="str">
        <f t="shared" si="5"/>
        <v>Low</v>
      </c>
      <c r="G88">
        <v>0</v>
      </c>
      <c r="H88">
        <v>3.89</v>
      </c>
      <c r="I88" t="str">
        <f t="shared" si="6"/>
        <v>Average</v>
      </c>
    </row>
    <row r="89" spans="1:9" x14ac:dyDescent="0.3">
      <c r="A89" t="s">
        <v>258</v>
      </c>
      <c r="B89" s="4">
        <v>274</v>
      </c>
      <c r="C89" s="4">
        <v>537</v>
      </c>
      <c r="D89" s="4">
        <f t="shared" si="4"/>
        <v>263</v>
      </c>
      <c r="E89" s="1">
        <v>0.49</v>
      </c>
      <c r="F89" s="1" t="str">
        <f t="shared" si="5"/>
        <v>High</v>
      </c>
      <c r="G89">
        <v>0</v>
      </c>
      <c r="H89">
        <v>3.89</v>
      </c>
      <c r="I89" t="str">
        <f t="shared" si="6"/>
        <v>Average</v>
      </c>
    </row>
    <row r="90" spans="1:9" x14ac:dyDescent="0.3">
      <c r="A90" t="s">
        <v>261</v>
      </c>
      <c r="B90" s="4">
        <v>799</v>
      </c>
      <c r="C90" s="4">
        <v>900</v>
      </c>
      <c r="D90" s="4">
        <f t="shared" si="4"/>
        <v>101</v>
      </c>
      <c r="E90" s="1">
        <v>0.11</v>
      </c>
      <c r="F90" s="1" t="str">
        <f t="shared" si="5"/>
        <v>Low</v>
      </c>
      <c r="G90">
        <v>0</v>
      </c>
      <c r="H90">
        <v>3.89</v>
      </c>
      <c r="I90" t="str">
        <f t="shared" si="6"/>
        <v>Average</v>
      </c>
    </row>
    <row r="91" spans="1:9" x14ac:dyDescent="0.3">
      <c r="A91" t="s">
        <v>175</v>
      </c>
      <c r="B91" s="4">
        <v>657</v>
      </c>
      <c r="C91" s="4">
        <v>1288</v>
      </c>
      <c r="D91" s="4">
        <f t="shared" si="4"/>
        <v>631</v>
      </c>
      <c r="E91" s="1">
        <v>0.49</v>
      </c>
      <c r="F91" s="1" t="str">
        <f t="shared" si="5"/>
        <v>High</v>
      </c>
      <c r="G91">
        <v>0</v>
      </c>
      <c r="H91">
        <v>3.89</v>
      </c>
      <c r="I91" t="str">
        <f t="shared" si="6"/>
        <v>Average</v>
      </c>
    </row>
    <row r="92" spans="1:9" x14ac:dyDescent="0.3">
      <c r="A92" t="s">
        <v>264</v>
      </c>
      <c r="B92" s="4">
        <v>1468</v>
      </c>
      <c r="C92" s="4">
        <v>1699</v>
      </c>
      <c r="D92" s="4">
        <f t="shared" si="4"/>
        <v>231</v>
      </c>
      <c r="E92" s="1">
        <v>0.14000000000000001</v>
      </c>
      <c r="F92" s="1" t="str">
        <f t="shared" si="5"/>
        <v>Low</v>
      </c>
      <c r="G92">
        <v>0</v>
      </c>
      <c r="H92">
        <v>3.89</v>
      </c>
      <c r="I92" t="str">
        <f t="shared" si="6"/>
        <v>Average</v>
      </c>
    </row>
    <row r="93" spans="1:9" x14ac:dyDescent="0.3">
      <c r="A93" t="s">
        <v>266</v>
      </c>
      <c r="B93" s="4">
        <v>630</v>
      </c>
      <c r="C93" s="4">
        <v>1100</v>
      </c>
      <c r="D93" s="4">
        <f t="shared" si="4"/>
        <v>470</v>
      </c>
      <c r="E93" s="1">
        <v>0.43</v>
      </c>
      <c r="F93" s="1" t="str">
        <f t="shared" si="5"/>
        <v>High</v>
      </c>
      <c r="G93">
        <v>0</v>
      </c>
      <c r="H93">
        <v>3.89</v>
      </c>
      <c r="I93" t="str">
        <f t="shared" si="6"/>
        <v>Average</v>
      </c>
    </row>
    <row r="94" spans="1:9" x14ac:dyDescent="0.3">
      <c r="A94" t="s">
        <v>269</v>
      </c>
      <c r="B94" s="4">
        <v>850</v>
      </c>
      <c r="C94" s="4">
        <v>1700</v>
      </c>
      <c r="D94" s="4">
        <f t="shared" si="4"/>
        <v>850</v>
      </c>
      <c r="E94" s="1">
        <v>0.5</v>
      </c>
      <c r="F94" s="1" t="str">
        <f t="shared" si="5"/>
        <v>High</v>
      </c>
      <c r="G94">
        <v>0</v>
      </c>
      <c r="H94">
        <v>3.89</v>
      </c>
      <c r="I94" t="str">
        <f t="shared" si="6"/>
        <v>Average</v>
      </c>
    </row>
    <row r="95" spans="1:9" x14ac:dyDescent="0.3">
      <c r="A95" t="s">
        <v>272</v>
      </c>
      <c r="B95" s="4">
        <v>1300</v>
      </c>
      <c r="C95" s="4">
        <v>2500</v>
      </c>
      <c r="D95" s="4">
        <f t="shared" si="4"/>
        <v>1200</v>
      </c>
      <c r="E95" s="1">
        <v>0.48</v>
      </c>
      <c r="F95" s="1" t="str">
        <f t="shared" si="5"/>
        <v>High</v>
      </c>
      <c r="G95">
        <v>0</v>
      </c>
      <c r="H95">
        <v>3.89</v>
      </c>
      <c r="I95" t="str">
        <f t="shared" si="6"/>
        <v>Average</v>
      </c>
    </row>
    <row r="96" spans="1:9" x14ac:dyDescent="0.3">
      <c r="A96" t="s">
        <v>274</v>
      </c>
      <c r="B96" s="4">
        <v>105</v>
      </c>
      <c r="C96" s="4">
        <v>200</v>
      </c>
      <c r="D96" s="4">
        <f t="shared" si="4"/>
        <v>95</v>
      </c>
      <c r="E96" s="1">
        <v>0.48</v>
      </c>
      <c r="F96" s="1" t="str">
        <f t="shared" si="5"/>
        <v>High</v>
      </c>
      <c r="G96">
        <v>0</v>
      </c>
      <c r="H96">
        <v>3.89</v>
      </c>
      <c r="I96" t="str">
        <f t="shared" si="6"/>
        <v>Average</v>
      </c>
    </row>
    <row r="97" spans="1:9" x14ac:dyDescent="0.3">
      <c r="A97" t="s">
        <v>277</v>
      </c>
      <c r="B97" s="4">
        <v>899</v>
      </c>
      <c r="C97" s="4">
        <v>1699</v>
      </c>
      <c r="D97" s="4">
        <f t="shared" si="4"/>
        <v>800</v>
      </c>
      <c r="E97" s="1">
        <v>0.47</v>
      </c>
      <c r="F97" s="1" t="str">
        <f t="shared" si="5"/>
        <v>High</v>
      </c>
      <c r="G97">
        <v>0</v>
      </c>
      <c r="H97">
        <v>3.89</v>
      </c>
      <c r="I97" t="str">
        <f t="shared" si="6"/>
        <v>Average</v>
      </c>
    </row>
    <row r="98" spans="1:9" x14ac:dyDescent="0.3">
      <c r="A98" t="s">
        <v>277</v>
      </c>
      <c r="B98" s="4">
        <v>899</v>
      </c>
      <c r="C98" s="4">
        <v>1699</v>
      </c>
      <c r="D98" s="4">
        <f t="shared" ref="D98:D116" si="7">C98-B98</f>
        <v>800</v>
      </c>
      <c r="E98" s="1">
        <v>0.47</v>
      </c>
      <c r="F98" s="1" t="str">
        <f t="shared" si="5"/>
        <v>High</v>
      </c>
      <c r="G98">
        <v>0</v>
      </c>
      <c r="H98">
        <v>3.89</v>
      </c>
      <c r="I98" t="str">
        <f t="shared" si="6"/>
        <v>Average</v>
      </c>
    </row>
    <row r="99" spans="1:9" x14ac:dyDescent="0.3">
      <c r="A99" t="s">
        <v>278</v>
      </c>
      <c r="B99" s="4">
        <v>1200</v>
      </c>
      <c r="C99" s="4">
        <v>2400</v>
      </c>
      <c r="D99" s="4">
        <f t="shared" si="7"/>
        <v>1200</v>
      </c>
      <c r="E99" s="1">
        <v>0.5</v>
      </c>
      <c r="F99" s="1" t="str">
        <f t="shared" si="5"/>
        <v>High</v>
      </c>
      <c r="G99">
        <v>0</v>
      </c>
      <c r="H99">
        <v>3.89</v>
      </c>
      <c r="I99" t="str">
        <f t="shared" si="6"/>
        <v>Average</v>
      </c>
    </row>
    <row r="100" spans="1:9" x14ac:dyDescent="0.3">
      <c r="A100" t="s">
        <v>280</v>
      </c>
      <c r="B100" s="4">
        <v>1526</v>
      </c>
      <c r="C100" s="4">
        <v>1660</v>
      </c>
      <c r="D100" s="4">
        <f t="shared" si="7"/>
        <v>134</v>
      </c>
      <c r="E100" s="1">
        <v>0.08</v>
      </c>
      <c r="F100" s="1" t="str">
        <f t="shared" si="5"/>
        <v>Low</v>
      </c>
      <c r="G100">
        <v>0</v>
      </c>
      <c r="H100">
        <v>3.89</v>
      </c>
      <c r="I100" t="str">
        <f t="shared" si="6"/>
        <v>Average</v>
      </c>
    </row>
    <row r="101" spans="1:9" x14ac:dyDescent="0.3">
      <c r="A101" t="s">
        <v>282</v>
      </c>
      <c r="B101" s="4">
        <v>1462</v>
      </c>
      <c r="C101" s="4">
        <v>1499</v>
      </c>
      <c r="D101" s="4">
        <f t="shared" si="7"/>
        <v>37</v>
      </c>
      <c r="E101" s="1">
        <v>0.02</v>
      </c>
      <c r="F101" s="1" t="str">
        <f t="shared" si="5"/>
        <v>Low</v>
      </c>
      <c r="G101">
        <v>0</v>
      </c>
      <c r="H101">
        <v>3.89</v>
      </c>
      <c r="I101" t="str">
        <f t="shared" si="6"/>
        <v>Average</v>
      </c>
    </row>
    <row r="102" spans="1:9" x14ac:dyDescent="0.3">
      <c r="A102" t="s">
        <v>284</v>
      </c>
      <c r="B102" s="4">
        <v>248</v>
      </c>
      <c r="C102" s="4">
        <v>486</v>
      </c>
      <c r="D102" s="4">
        <f t="shared" si="7"/>
        <v>238</v>
      </c>
      <c r="E102" s="1">
        <v>0.49</v>
      </c>
      <c r="F102" s="1" t="str">
        <f t="shared" si="5"/>
        <v>High</v>
      </c>
      <c r="G102">
        <v>0</v>
      </c>
      <c r="H102">
        <v>3.89</v>
      </c>
      <c r="I102" t="str">
        <f t="shared" si="6"/>
        <v>Average</v>
      </c>
    </row>
    <row r="103" spans="1:9" x14ac:dyDescent="0.3">
      <c r="A103" t="s">
        <v>287</v>
      </c>
      <c r="B103" s="4">
        <v>3546</v>
      </c>
      <c r="C103" s="4">
        <v>3699</v>
      </c>
      <c r="D103" s="4">
        <f t="shared" si="7"/>
        <v>153</v>
      </c>
      <c r="E103" s="1">
        <v>0.04</v>
      </c>
      <c r="F103" s="1" t="str">
        <f t="shared" si="5"/>
        <v>Low</v>
      </c>
      <c r="G103">
        <v>0</v>
      </c>
      <c r="H103">
        <v>3.89</v>
      </c>
      <c r="I103" t="str">
        <f t="shared" si="6"/>
        <v>Average</v>
      </c>
    </row>
    <row r="104" spans="1:9" x14ac:dyDescent="0.3">
      <c r="A104" t="s">
        <v>289</v>
      </c>
      <c r="B104" s="4">
        <v>525</v>
      </c>
      <c r="C104" s="4">
        <v>1029</v>
      </c>
      <c r="D104" s="4">
        <f t="shared" si="7"/>
        <v>504</v>
      </c>
      <c r="E104" s="1">
        <v>0.49</v>
      </c>
      <c r="F104" s="1" t="str">
        <f t="shared" si="5"/>
        <v>High</v>
      </c>
      <c r="G104">
        <v>0</v>
      </c>
      <c r="H104">
        <v>3.89</v>
      </c>
      <c r="I104" t="str">
        <f t="shared" si="6"/>
        <v>Average</v>
      </c>
    </row>
    <row r="105" spans="1:9" x14ac:dyDescent="0.3">
      <c r="A105" t="s">
        <v>292</v>
      </c>
      <c r="B105" s="4">
        <v>1080</v>
      </c>
      <c r="C105" s="4">
        <v>1874</v>
      </c>
      <c r="D105" s="4">
        <f t="shared" si="7"/>
        <v>794</v>
      </c>
      <c r="E105" s="1">
        <v>0.42</v>
      </c>
      <c r="F105" s="1" t="str">
        <f t="shared" si="5"/>
        <v>High</v>
      </c>
      <c r="G105">
        <v>0</v>
      </c>
      <c r="H105">
        <v>3.89</v>
      </c>
      <c r="I105" t="str">
        <f t="shared" si="6"/>
        <v>Average</v>
      </c>
    </row>
    <row r="106" spans="1:9" x14ac:dyDescent="0.3">
      <c r="A106" t="s">
        <v>295</v>
      </c>
      <c r="B106" s="4">
        <v>3640</v>
      </c>
      <c r="C106" s="4">
        <v>4588</v>
      </c>
      <c r="D106" s="4">
        <f t="shared" si="7"/>
        <v>948</v>
      </c>
      <c r="E106" s="1">
        <v>0.21</v>
      </c>
      <c r="F106" s="1" t="str">
        <f t="shared" si="5"/>
        <v>Medium</v>
      </c>
      <c r="G106">
        <v>1</v>
      </c>
      <c r="H106">
        <v>5</v>
      </c>
      <c r="I106" t="str">
        <f t="shared" si="6"/>
        <v>Excellent</v>
      </c>
    </row>
    <row r="107" spans="1:9" x14ac:dyDescent="0.3">
      <c r="A107" t="s">
        <v>298</v>
      </c>
      <c r="B107" s="4">
        <v>1420</v>
      </c>
      <c r="C107" s="4">
        <v>2420</v>
      </c>
      <c r="D107" s="4">
        <f t="shared" si="7"/>
        <v>1000</v>
      </c>
      <c r="E107" s="1">
        <v>0.41</v>
      </c>
      <c r="F107" s="1" t="str">
        <f t="shared" si="5"/>
        <v>High</v>
      </c>
      <c r="G107">
        <v>0</v>
      </c>
      <c r="H107">
        <v>3.89</v>
      </c>
      <c r="I107" t="str">
        <f t="shared" si="6"/>
        <v>Average</v>
      </c>
    </row>
    <row r="108" spans="1:9" x14ac:dyDescent="0.3">
      <c r="A108" t="s">
        <v>301</v>
      </c>
      <c r="B108" s="4">
        <v>1875</v>
      </c>
      <c r="C108" s="4">
        <v>1899</v>
      </c>
      <c r="D108" s="4">
        <f t="shared" si="7"/>
        <v>24</v>
      </c>
      <c r="E108" s="1">
        <v>0.01</v>
      </c>
      <c r="F108" s="1" t="str">
        <f t="shared" si="5"/>
        <v>Low</v>
      </c>
      <c r="G108">
        <v>0</v>
      </c>
      <c r="H108">
        <v>3.89</v>
      </c>
      <c r="I108" t="str">
        <f t="shared" si="6"/>
        <v>Average</v>
      </c>
    </row>
    <row r="109" spans="1:9" x14ac:dyDescent="0.3">
      <c r="A109" t="s">
        <v>304</v>
      </c>
      <c r="B109" s="4">
        <v>198</v>
      </c>
      <c r="C109" s="4">
        <v>260</v>
      </c>
      <c r="D109" s="4">
        <f t="shared" si="7"/>
        <v>62</v>
      </c>
      <c r="E109" s="1">
        <v>0.24</v>
      </c>
      <c r="F109" s="1" t="str">
        <f t="shared" si="5"/>
        <v>Medium</v>
      </c>
      <c r="G109">
        <v>0</v>
      </c>
      <c r="H109">
        <v>3.89</v>
      </c>
      <c r="I109" t="str">
        <f t="shared" si="6"/>
        <v>Average</v>
      </c>
    </row>
    <row r="110" spans="1:9" x14ac:dyDescent="0.3">
      <c r="A110" t="s">
        <v>307</v>
      </c>
      <c r="B110" s="4">
        <v>1150</v>
      </c>
      <c r="C110" s="4">
        <v>1737</v>
      </c>
      <c r="D110" s="4">
        <f t="shared" si="7"/>
        <v>587</v>
      </c>
      <c r="E110" s="1">
        <v>0.34</v>
      </c>
      <c r="F110" s="1" t="str">
        <f t="shared" si="5"/>
        <v>Medium</v>
      </c>
      <c r="G110">
        <v>0</v>
      </c>
      <c r="H110">
        <v>3.89</v>
      </c>
      <c r="I110" t="str">
        <f t="shared" si="6"/>
        <v>Average</v>
      </c>
    </row>
    <row r="111" spans="1:9" x14ac:dyDescent="0.3">
      <c r="A111" t="s">
        <v>310</v>
      </c>
      <c r="B111" s="4">
        <v>1190</v>
      </c>
      <c r="C111" s="4">
        <v>1810</v>
      </c>
      <c r="D111" s="4">
        <f t="shared" si="7"/>
        <v>620</v>
      </c>
      <c r="E111" s="1">
        <v>0.34</v>
      </c>
      <c r="F111" s="1" t="str">
        <f t="shared" si="5"/>
        <v>Medium</v>
      </c>
      <c r="G111">
        <v>0</v>
      </c>
      <c r="H111">
        <v>3.89</v>
      </c>
      <c r="I111" t="str">
        <f t="shared" si="6"/>
        <v>Average</v>
      </c>
    </row>
    <row r="112" spans="1:9" x14ac:dyDescent="0.3">
      <c r="A112" t="s">
        <v>312</v>
      </c>
      <c r="B112" s="4">
        <v>1658</v>
      </c>
      <c r="C112" s="4">
        <v>1699</v>
      </c>
      <c r="D112" s="4">
        <f t="shared" si="7"/>
        <v>41</v>
      </c>
      <c r="E112" s="1">
        <v>0.02</v>
      </c>
      <c r="F112" s="1" t="str">
        <f t="shared" si="5"/>
        <v>Low</v>
      </c>
      <c r="G112">
        <v>0</v>
      </c>
      <c r="H112">
        <v>3.89</v>
      </c>
      <c r="I112" t="str">
        <f t="shared" si="6"/>
        <v>Average</v>
      </c>
    </row>
    <row r="113" spans="1:9" x14ac:dyDescent="0.3">
      <c r="A113" t="s">
        <v>314</v>
      </c>
      <c r="B113" s="4">
        <v>1768</v>
      </c>
      <c r="C113" s="4">
        <v>1799</v>
      </c>
      <c r="D113" s="4">
        <f t="shared" si="7"/>
        <v>31</v>
      </c>
      <c r="E113" s="1">
        <v>0.02</v>
      </c>
      <c r="F113" s="1" t="str">
        <f t="shared" si="5"/>
        <v>Low</v>
      </c>
      <c r="G113">
        <v>0</v>
      </c>
      <c r="H113">
        <v>3.89</v>
      </c>
      <c r="I113" t="str">
        <f t="shared" si="6"/>
        <v>Average</v>
      </c>
    </row>
    <row r="114" spans="1:9" x14ac:dyDescent="0.3">
      <c r="A114" t="s">
        <v>316</v>
      </c>
      <c r="B114" s="4">
        <v>199</v>
      </c>
      <c r="C114" s="4">
        <v>553</v>
      </c>
      <c r="D114" s="4">
        <f t="shared" si="7"/>
        <v>354</v>
      </c>
      <c r="E114" s="1">
        <v>0.64</v>
      </c>
      <c r="F114" s="1" t="str">
        <f t="shared" si="5"/>
        <v>High</v>
      </c>
      <c r="G114">
        <v>0</v>
      </c>
      <c r="H114">
        <v>3.89</v>
      </c>
      <c r="I114" t="str">
        <f t="shared" si="6"/>
        <v>Average</v>
      </c>
    </row>
    <row r="115" spans="1:9" x14ac:dyDescent="0.3">
      <c r="A115" t="s">
        <v>318</v>
      </c>
      <c r="B115" s="4">
        <v>450</v>
      </c>
      <c r="C115" s="4">
        <v>900</v>
      </c>
      <c r="D115" s="4">
        <f t="shared" si="7"/>
        <v>450</v>
      </c>
      <c r="E115" s="1">
        <v>0.5</v>
      </c>
      <c r="F115" s="1" t="str">
        <f t="shared" si="5"/>
        <v>High</v>
      </c>
      <c r="G115">
        <v>1</v>
      </c>
      <c r="H115">
        <v>2</v>
      </c>
      <c r="I115" t="str">
        <f t="shared" si="6"/>
        <v>Poor</v>
      </c>
    </row>
    <row r="116" spans="1:9" x14ac:dyDescent="0.3">
      <c r="A116" t="s">
        <v>320</v>
      </c>
      <c r="B116" s="4">
        <v>169</v>
      </c>
      <c r="C116" s="4">
        <v>320</v>
      </c>
      <c r="D116" s="4">
        <f t="shared" si="7"/>
        <v>151</v>
      </c>
      <c r="E116" s="1">
        <v>0.47</v>
      </c>
      <c r="F116" s="1" t="str">
        <f t="shared" si="5"/>
        <v>High</v>
      </c>
      <c r="G116">
        <v>0</v>
      </c>
      <c r="H116">
        <v>3.89</v>
      </c>
      <c r="I116" t="str">
        <f t="shared" si="6"/>
        <v>Average</v>
      </c>
    </row>
    <row r="117" spans="1:9" x14ac:dyDescent="0.3">
      <c r="B117" s="3">
        <f>AVERAGE(B2:B116)</f>
        <v>1174.3565217391304</v>
      </c>
      <c r="C117" s="3">
        <f>AVERAGE(C2:C116)</f>
        <v>1797.0695652173913</v>
      </c>
      <c r="D117" s="3"/>
      <c r="E117" s="5">
        <f>AVERAGE(E2:E116)</f>
        <v>0.36956521739130432</v>
      </c>
      <c r="F117" s="2"/>
      <c r="G117" s="2"/>
      <c r="H117" s="2">
        <f>AVERAGE(H2:H116)</f>
        <v>3.8897391304347759</v>
      </c>
      <c r="I117" s="2"/>
    </row>
    <row r="118" spans="1:9" x14ac:dyDescent="0.3">
      <c r="E118" s="6"/>
    </row>
    <row r="119" spans="1:9" x14ac:dyDescent="0.3">
      <c r="E119" s="6"/>
    </row>
    <row r="120" spans="1:9" x14ac:dyDescent="0.3">
      <c r="E120" s="6"/>
    </row>
  </sheetData>
  <conditionalFormatting sqref="B2:B116">
    <cfRule type="top10" dxfId="4" priority="1" rank="1"/>
    <cfRule type="top10" dxfId="3" priority="2" bottom="1" rank="1"/>
    <cfRule type="top10" dxfId="2" priority="3" rank="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
  <sheetViews>
    <sheetView topLeftCell="A3" workbookViewId="0">
      <selection activeCell="A21" sqref="A21"/>
    </sheetView>
  </sheetViews>
  <sheetFormatPr defaultRowHeight="14.4" x14ac:dyDescent="0.3"/>
  <cols>
    <col min="1" max="1" width="89.44140625" customWidth="1"/>
  </cols>
  <sheetData>
    <row r="1" spans="1:1" x14ac:dyDescent="0.3">
      <c r="A1" s="11" t="s">
        <v>375</v>
      </c>
    </row>
    <row r="2" spans="1:1" x14ac:dyDescent="0.3">
      <c r="A2" t="s">
        <v>328</v>
      </c>
    </row>
    <row r="3" spans="1:1" x14ac:dyDescent="0.3">
      <c r="A3" t="s">
        <v>329</v>
      </c>
    </row>
    <row r="5" spans="1:1" x14ac:dyDescent="0.3">
      <c r="A5" s="2"/>
    </row>
    <row r="9" spans="1:1" x14ac:dyDescent="0.3">
      <c r="A9" s="11" t="s">
        <v>368</v>
      </c>
    </row>
    <row r="10" spans="1:1" x14ac:dyDescent="0.3">
      <c r="A10" t="s">
        <v>377</v>
      </c>
    </row>
    <row r="11" spans="1:1" x14ac:dyDescent="0.3">
      <c r="A11" t="s">
        <v>378</v>
      </c>
    </row>
    <row r="12" spans="1:1" x14ac:dyDescent="0.3">
      <c r="A12" s="2" t="s">
        <v>376</v>
      </c>
    </row>
    <row r="13" spans="1:1" x14ac:dyDescent="0.3">
      <c r="A13" t="s">
        <v>369</v>
      </c>
    </row>
    <row r="14" spans="1:1" x14ac:dyDescent="0.3">
      <c r="A14" t="s">
        <v>370</v>
      </c>
    </row>
    <row r="15" spans="1:1" x14ac:dyDescent="0.3">
      <c r="A15" t="s">
        <v>371</v>
      </c>
    </row>
    <row r="16" spans="1:1" x14ac:dyDescent="0.3">
      <c r="A16" s="2" t="s">
        <v>379</v>
      </c>
    </row>
    <row r="17" spans="1:1" x14ac:dyDescent="0.3">
      <c r="A17" t="s">
        <v>372</v>
      </c>
    </row>
    <row r="18" spans="1:1" x14ac:dyDescent="0.3">
      <c r="A18" t="s">
        <v>373</v>
      </c>
    </row>
    <row r="19" spans="1:1" x14ac:dyDescent="0.3">
      <c r="A19" t="s">
        <v>374</v>
      </c>
    </row>
    <row r="21" spans="1:1" x14ac:dyDescent="0.3">
      <c r="A21" s="12" t="s">
        <v>380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
  <sheetViews>
    <sheetView topLeftCell="A20" workbookViewId="0">
      <selection activeCell="K40" sqref="K40"/>
    </sheetView>
  </sheetViews>
  <sheetFormatPr defaultRowHeight="14.4" x14ac:dyDescent="0.3"/>
  <cols>
    <col min="1" max="1" width="18.6640625" customWidth="1"/>
    <col min="2" max="2" width="16" customWidth="1"/>
    <col min="3" max="3" width="18.109375" bestFit="1" customWidth="1"/>
  </cols>
  <sheetData>
    <row r="1" spans="1:3" x14ac:dyDescent="0.3">
      <c r="A1" s="2" t="s">
        <v>359</v>
      </c>
    </row>
    <row r="2" spans="1:3" x14ac:dyDescent="0.3">
      <c r="A2" t="s">
        <v>360</v>
      </c>
    </row>
    <row r="3" spans="1:3" x14ac:dyDescent="0.3">
      <c r="A3" s="2" t="s">
        <v>361</v>
      </c>
      <c r="B3" s="4">
        <f>Staging_Data!B117</f>
        <v>1174.3565217391304</v>
      </c>
    </row>
    <row r="4" spans="1:3" x14ac:dyDescent="0.3">
      <c r="A4" s="2" t="s">
        <v>362</v>
      </c>
      <c r="B4" s="4">
        <f>Staging_Data!C117</f>
        <v>1797.0695652173913</v>
      </c>
    </row>
    <row r="5" spans="1:3" x14ac:dyDescent="0.3">
      <c r="A5" s="2" t="s">
        <v>363</v>
      </c>
      <c r="B5">
        <f>Staging_Data!H117</f>
        <v>3.8897391304347759</v>
      </c>
    </row>
    <row r="7" spans="1:3" x14ac:dyDescent="0.3">
      <c r="A7" t="s">
        <v>330</v>
      </c>
    </row>
    <row r="8" spans="1:3" x14ac:dyDescent="0.3">
      <c r="A8" s="2" t="s">
        <v>364</v>
      </c>
      <c r="B8" t="str">
        <f>Staging_Data!A70</f>
        <v>32PCS Portable Cordless Drill Set With Cyclic Battery Drive -26 Variable Speed</v>
      </c>
      <c r="C8" s="4">
        <f>Staging_Data!B70</f>
        <v>3750</v>
      </c>
    </row>
    <row r="9" spans="1:3" x14ac:dyDescent="0.3">
      <c r="A9" s="2" t="s">
        <v>365</v>
      </c>
      <c r="B9" t="str">
        <f>Staging_Data!A22</f>
        <v>3PCS Single Head Knitting Crochet Sweater Needle Set</v>
      </c>
      <c r="C9" s="4">
        <f>Staging_Data!B22</f>
        <v>38</v>
      </c>
    </row>
    <row r="12" spans="1:3" x14ac:dyDescent="0.3">
      <c r="A12" t="s">
        <v>331</v>
      </c>
    </row>
    <row r="15" spans="1:3" x14ac:dyDescent="0.3">
      <c r="A15" s="7" t="s">
        <v>327</v>
      </c>
      <c r="B15" t="s">
        <v>336</v>
      </c>
      <c r="C15" t="s">
        <v>335</v>
      </c>
    </row>
    <row r="16" spans="1:3" x14ac:dyDescent="0.3">
      <c r="A16" s="8" t="s">
        <v>348</v>
      </c>
      <c r="B16" s="10">
        <v>3.7623076923076875</v>
      </c>
      <c r="C16" s="9">
        <v>0.48123076923076896</v>
      </c>
    </row>
    <row r="17" spans="1:3" x14ac:dyDescent="0.3">
      <c r="A17" s="8" t="s">
        <v>349</v>
      </c>
      <c r="B17" s="10">
        <v>3.8533333333333335</v>
      </c>
      <c r="C17" s="9">
        <v>7.2222222222222243E-2</v>
      </c>
    </row>
    <row r="18" spans="1:3" x14ac:dyDescent="0.3">
      <c r="A18" s="8" t="s">
        <v>350</v>
      </c>
      <c r="B18" s="10">
        <v>4.1690624999999999</v>
      </c>
      <c r="C18" s="9">
        <v>0.30999999999999994</v>
      </c>
    </row>
    <row r="19" spans="1:3" x14ac:dyDescent="0.3">
      <c r="A19" s="8" t="s">
        <v>334</v>
      </c>
      <c r="B19" s="10">
        <v>3.8897391304347777</v>
      </c>
      <c r="C19" s="9">
        <v>0.36956521739130443</v>
      </c>
    </row>
    <row r="21" spans="1:3" x14ac:dyDescent="0.3">
      <c r="A21" t="s">
        <v>332</v>
      </c>
    </row>
    <row r="23" spans="1:3" x14ac:dyDescent="0.3">
      <c r="A23" s="7" t="s">
        <v>326</v>
      </c>
      <c r="B23" t="s">
        <v>366</v>
      </c>
    </row>
    <row r="24" spans="1:3" x14ac:dyDescent="0.3">
      <c r="A24" s="8" t="s">
        <v>354</v>
      </c>
      <c r="B24" s="10">
        <v>80</v>
      </c>
    </row>
    <row r="25" spans="1:3" x14ac:dyDescent="0.3">
      <c r="A25" s="8" t="s">
        <v>355</v>
      </c>
      <c r="B25" s="10">
        <v>23</v>
      </c>
    </row>
    <row r="26" spans="1:3" x14ac:dyDescent="0.3">
      <c r="A26" s="8" t="s">
        <v>356</v>
      </c>
      <c r="B26" s="10">
        <v>12</v>
      </c>
    </row>
    <row r="27" spans="1:3" x14ac:dyDescent="0.3">
      <c r="A27" s="8" t="s">
        <v>334</v>
      </c>
      <c r="B27" s="10">
        <v>115</v>
      </c>
    </row>
    <row r="35" spans="1:2" x14ac:dyDescent="0.3">
      <c r="A35" s="7" t="s">
        <v>327</v>
      </c>
      <c r="B35" t="s">
        <v>366</v>
      </c>
    </row>
    <row r="36" spans="1:2" x14ac:dyDescent="0.3">
      <c r="A36" s="8" t="s">
        <v>348</v>
      </c>
      <c r="B36" s="10">
        <v>65</v>
      </c>
    </row>
    <row r="37" spans="1:2" x14ac:dyDescent="0.3">
      <c r="A37" s="8" t="s">
        <v>349</v>
      </c>
      <c r="B37" s="10">
        <v>18</v>
      </c>
    </row>
    <row r="38" spans="1:2" x14ac:dyDescent="0.3">
      <c r="A38" s="8" t="s">
        <v>350</v>
      </c>
      <c r="B38" s="10">
        <v>32</v>
      </c>
    </row>
    <row r="39" spans="1:2" x14ac:dyDescent="0.3">
      <c r="A39" s="8" t="s">
        <v>334</v>
      </c>
      <c r="B39" s="10">
        <v>115</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
  <sheetViews>
    <sheetView topLeftCell="A7" workbookViewId="0">
      <selection activeCell="M9" sqref="M9"/>
    </sheetView>
  </sheetViews>
  <sheetFormatPr defaultRowHeight="14.4" x14ac:dyDescent="0.3"/>
  <cols>
    <col min="1" max="1" width="18.6640625" customWidth="1"/>
    <col min="2" max="2" width="13.5546875" customWidth="1"/>
  </cols>
  <sheetData>
    <row r="1" spans="1:11" x14ac:dyDescent="0.3">
      <c r="A1" t="s">
        <v>352</v>
      </c>
    </row>
    <row r="2" spans="1:11" x14ac:dyDescent="0.3">
      <c r="A2" s="7" t="s">
        <v>327</v>
      </c>
      <c r="B2" t="s">
        <v>367</v>
      </c>
    </row>
    <row r="3" spans="1:11" x14ac:dyDescent="0.3">
      <c r="A3" s="8" t="s">
        <v>348</v>
      </c>
      <c r="B3" s="10">
        <v>334</v>
      </c>
    </row>
    <row r="4" spans="1:11" x14ac:dyDescent="0.3">
      <c r="A4" s="8" t="s">
        <v>349</v>
      </c>
      <c r="B4" s="10">
        <v>38</v>
      </c>
    </row>
    <row r="5" spans="1:11" x14ac:dyDescent="0.3">
      <c r="A5" s="8" t="s">
        <v>350</v>
      </c>
      <c r="B5" s="10">
        <v>351</v>
      </c>
    </row>
    <row r="6" spans="1:11" x14ac:dyDescent="0.3">
      <c r="A6" s="8" t="s">
        <v>334</v>
      </c>
      <c r="B6" s="10">
        <v>723</v>
      </c>
      <c r="K6" t="s">
        <v>382</v>
      </c>
    </row>
    <row r="15" spans="1:11" x14ac:dyDescent="0.3">
      <c r="A15" t="s">
        <v>353</v>
      </c>
    </row>
    <row r="16" spans="1:11" x14ac:dyDescent="0.3">
      <c r="A16" s="7" t="s">
        <v>326</v>
      </c>
      <c r="B16" t="s">
        <v>367</v>
      </c>
    </row>
    <row r="17" spans="1:11" x14ac:dyDescent="0.3">
      <c r="A17" s="8" t="s">
        <v>354</v>
      </c>
      <c r="B17" s="10">
        <v>223</v>
      </c>
    </row>
    <row r="18" spans="1:11" x14ac:dyDescent="0.3">
      <c r="A18" s="8" t="s">
        <v>355</v>
      </c>
      <c r="B18" s="10">
        <v>331</v>
      </c>
    </row>
    <row r="19" spans="1:11" x14ac:dyDescent="0.3">
      <c r="A19" s="8" t="s">
        <v>356</v>
      </c>
      <c r="B19" s="10">
        <v>169</v>
      </c>
      <c r="K19" t="s">
        <v>381</v>
      </c>
    </row>
    <row r="20" spans="1:11" x14ac:dyDescent="0.3">
      <c r="A20" s="8" t="s">
        <v>334</v>
      </c>
      <c r="B20" s="10">
        <v>723</v>
      </c>
    </row>
    <row r="29" spans="1:11" x14ac:dyDescent="0.3">
      <c r="A29" t="s">
        <v>357</v>
      </c>
    </row>
    <row r="30" spans="1:11" x14ac:dyDescent="0.3">
      <c r="A30" t="s">
        <v>358</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2"/>
  <sheetViews>
    <sheetView tabSelected="1" workbookViewId="0">
      <selection activeCell="K11" sqref="K11"/>
    </sheetView>
  </sheetViews>
  <sheetFormatPr defaultRowHeight="14.4" x14ac:dyDescent="0.3"/>
  <cols>
    <col min="1" max="1" width="18.6640625" customWidth="1"/>
    <col min="2" max="2" width="16" customWidth="1"/>
    <col min="3" max="3" width="14.88671875" bestFit="1" customWidth="1"/>
  </cols>
  <sheetData>
    <row r="1" spans="1:2" x14ac:dyDescent="0.3">
      <c r="A1" t="s">
        <v>338</v>
      </c>
    </row>
    <row r="3" spans="1:2" x14ac:dyDescent="0.3">
      <c r="A3" s="7" t="s">
        <v>333</v>
      </c>
      <c r="B3" t="s">
        <v>337</v>
      </c>
    </row>
    <row r="4" spans="1:2" x14ac:dyDescent="0.3">
      <c r="A4" s="8" t="s">
        <v>316</v>
      </c>
      <c r="B4" s="9">
        <v>0.64</v>
      </c>
    </row>
    <row r="5" spans="1:2" x14ac:dyDescent="0.3">
      <c r="A5" s="8" t="s">
        <v>154</v>
      </c>
      <c r="B5" s="9">
        <v>0.61</v>
      </c>
    </row>
    <row r="6" spans="1:2" x14ac:dyDescent="0.3">
      <c r="A6" s="8" t="s">
        <v>190</v>
      </c>
      <c r="B6" s="9">
        <v>0.55000000000000004</v>
      </c>
    </row>
    <row r="7" spans="1:2" x14ac:dyDescent="0.3">
      <c r="A7" s="8" t="s">
        <v>35</v>
      </c>
      <c r="B7" s="9">
        <v>0.55000000000000004</v>
      </c>
    </row>
    <row r="8" spans="1:2" x14ac:dyDescent="0.3">
      <c r="A8" s="8" t="s">
        <v>170</v>
      </c>
      <c r="B8" s="9">
        <v>0.55000000000000004</v>
      </c>
    </row>
    <row r="9" spans="1:2" x14ac:dyDescent="0.3">
      <c r="A9" s="8" t="s">
        <v>186</v>
      </c>
      <c r="B9" s="9">
        <v>0.54</v>
      </c>
    </row>
    <row r="10" spans="1:2" x14ac:dyDescent="0.3">
      <c r="A10" s="8" t="s">
        <v>85</v>
      </c>
      <c r="B10" s="9">
        <v>0.54</v>
      </c>
    </row>
    <row r="11" spans="1:2" x14ac:dyDescent="0.3">
      <c r="A11" s="8" t="s">
        <v>120</v>
      </c>
      <c r="B11" s="9">
        <v>0.53</v>
      </c>
    </row>
    <row r="12" spans="1:2" x14ac:dyDescent="0.3">
      <c r="A12" s="8" t="s">
        <v>71</v>
      </c>
      <c r="B12" s="9">
        <v>0.53</v>
      </c>
    </row>
    <row r="13" spans="1:2" x14ac:dyDescent="0.3">
      <c r="A13" s="8" t="s">
        <v>198</v>
      </c>
      <c r="B13" s="9">
        <v>0.52</v>
      </c>
    </row>
    <row r="14" spans="1:2" x14ac:dyDescent="0.3">
      <c r="A14" s="8" t="s">
        <v>102</v>
      </c>
      <c r="B14" s="9">
        <v>0.52</v>
      </c>
    </row>
    <row r="15" spans="1:2" x14ac:dyDescent="0.3">
      <c r="A15" s="8" t="s">
        <v>334</v>
      </c>
      <c r="B15" s="9">
        <v>0.64</v>
      </c>
    </row>
    <row r="17" spans="1:2" x14ac:dyDescent="0.3">
      <c r="A17" t="s">
        <v>339</v>
      </c>
    </row>
    <row r="19" spans="1:2" x14ac:dyDescent="0.3">
      <c r="A19" s="7" t="s">
        <v>333</v>
      </c>
      <c r="B19" t="s">
        <v>341</v>
      </c>
    </row>
    <row r="20" spans="1:2" x14ac:dyDescent="0.3">
      <c r="A20" s="8" t="s">
        <v>194</v>
      </c>
      <c r="B20" s="10">
        <v>69</v>
      </c>
    </row>
    <row r="21" spans="1:2" x14ac:dyDescent="0.3">
      <c r="A21" s="8" t="s">
        <v>30</v>
      </c>
      <c r="B21" s="10">
        <v>55</v>
      </c>
    </row>
    <row r="22" spans="1:2" x14ac:dyDescent="0.3">
      <c r="A22" s="8" t="s">
        <v>89</v>
      </c>
      <c r="B22" s="10">
        <v>49</v>
      </c>
    </row>
    <row r="23" spans="1:2" x14ac:dyDescent="0.3">
      <c r="A23" s="8" t="s">
        <v>68</v>
      </c>
      <c r="B23" s="10">
        <v>44</v>
      </c>
    </row>
    <row r="24" spans="1:2" x14ac:dyDescent="0.3">
      <c r="A24" s="8" t="s">
        <v>44</v>
      </c>
      <c r="B24" s="10">
        <v>39</v>
      </c>
    </row>
    <row r="25" spans="1:2" x14ac:dyDescent="0.3">
      <c r="A25" s="8" t="s">
        <v>122</v>
      </c>
      <c r="B25" s="10">
        <v>36</v>
      </c>
    </row>
    <row r="26" spans="1:2" x14ac:dyDescent="0.3">
      <c r="A26" s="8" t="s">
        <v>114</v>
      </c>
      <c r="B26" s="10">
        <v>32</v>
      </c>
    </row>
    <row r="27" spans="1:2" x14ac:dyDescent="0.3">
      <c r="A27" s="8" t="s">
        <v>14</v>
      </c>
      <c r="B27" s="10">
        <v>24</v>
      </c>
    </row>
    <row r="28" spans="1:2" x14ac:dyDescent="0.3">
      <c r="A28" s="8" t="s">
        <v>111</v>
      </c>
      <c r="B28" s="10">
        <v>20</v>
      </c>
    </row>
    <row r="29" spans="1:2" x14ac:dyDescent="0.3">
      <c r="A29" s="8" t="s">
        <v>97</v>
      </c>
      <c r="B29" s="10">
        <v>20</v>
      </c>
    </row>
    <row r="30" spans="1:2" x14ac:dyDescent="0.3">
      <c r="A30" s="8" t="s">
        <v>334</v>
      </c>
      <c r="B30" s="10">
        <v>69</v>
      </c>
    </row>
    <row r="32" spans="1:2" x14ac:dyDescent="0.3">
      <c r="A32" t="s">
        <v>342</v>
      </c>
    </row>
    <row r="33" spans="1:2" x14ac:dyDescent="0.3">
      <c r="A33" s="8" t="s">
        <v>344</v>
      </c>
    </row>
    <row r="34" spans="1:2" x14ac:dyDescent="0.3">
      <c r="A34" s="7" t="s">
        <v>333</v>
      </c>
      <c r="B34" t="s">
        <v>343</v>
      </c>
    </row>
    <row r="35" spans="1:2" x14ac:dyDescent="0.3">
      <c r="A35" s="8" t="s">
        <v>56</v>
      </c>
      <c r="B35" s="10">
        <v>5</v>
      </c>
    </row>
    <row r="36" spans="1:2" x14ac:dyDescent="0.3">
      <c r="A36" s="8" t="s">
        <v>245</v>
      </c>
      <c r="B36" s="10">
        <v>5</v>
      </c>
    </row>
    <row r="37" spans="1:2" x14ac:dyDescent="0.3">
      <c r="A37" s="8" t="s">
        <v>120</v>
      </c>
      <c r="B37" s="10">
        <v>5</v>
      </c>
    </row>
    <row r="38" spans="1:2" x14ac:dyDescent="0.3">
      <c r="A38" s="8" t="s">
        <v>117</v>
      </c>
      <c r="B38" s="10">
        <v>5</v>
      </c>
    </row>
    <row r="39" spans="1:2" x14ac:dyDescent="0.3">
      <c r="A39" s="8" t="s">
        <v>295</v>
      </c>
      <c r="B39" s="10">
        <v>5</v>
      </c>
    </row>
    <row r="40" spans="1:2" x14ac:dyDescent="0.3">
      <c r="A40" s="8" t="s">
        <v>63</v>
      </c>
      <c r="B40" s="10">
        <v>5</v>
      </c>
    </row>
    <row r="41" spans="1:2" x14ac:dyDescent="0.3">
      <c r="A41" s="8" t="s">
        <v>60</v>
      </c>
      <c r="B41" s="10">
        <v>5</v>
      </c>
    </row>
    <row r="42" spans="1:2" x14ac:dyDescent="0.3">
      <c r="A42" s="8" t="s">
        <v>334</v>
      </c>
      <c r="B42" s="10">
        <v>5</v>
      </c>
    </row>
    <row r="47" spans="1:2" x14ac:dyDescent="0.3">
      <c r="A47" s="8" t="s">
        <v>345</v>
      </c>
    </row>
    <row r="48" spans="1:2" x14ac:dyDescent="0.3">
      <c r="A48" s="7" t="s">
        <v>333</v>
      </c>
      <c r="B48" t="s">
        <v>346</v>
      </c>
    </row>
    <row r="49" spans="1:12" x14ac:dyDescent="0.3">
      <c r="A49" s="8" t="s">
        <v>318</v>
      </c>
      <c r="B49" s="10">
        <v>2</v>
      </c>
    </row>
    <row r="50" spans="1:12" x14ac:dyDescent="0.3">
      <c r="A50" s="8" t="s">
        <v>190</v>
      </c>
      <c r="B50" s="10">
        <v>2.1</v>
      </c>
    </row>
    <row r="51" spans="1:12" x14ac:dyDescent="0.3">
      <c r="A51" s="8" t="s">
        <v>229</v>
      </c>
      <c r="B51" s="10">
        <v>2.1</v>
      </c>
    </row>
    <row r="52" spans="1:12" x14ac:dyDescent="0.3">
      <c r="A52" s="8" t="s">
        <v>206</v>
      </c>
      <c r="B52" s="10">
        <v>2.2000000000000002</v>
      </c>
    </row>
    <row r="53" spans="1:12" x14ac:dyDescent="0.3">
      <c r="A53" s="8" t="s">
        <v>227</v>
      </c>
      <c r="B53" s="10">
        <v>2.2000000000000002</v>
      </c>
    </row>
    <row r="54" spans="1:12" x14ac:dyDescent="0.3">
      <c r="A54" s="8" t="s">
        <v>334</v>
      </c>
      <c r="B54" s="10">
        <v>2</v>
      </c>
    </row>
    <row r="56" spans="1:12" x14ac:dyDescent="0.3">
      <c r="A56" s="8" t="s">
        <v>347</v>
      </c>
    </row>
    <row r="58" spans="1:12" x14ac:dyDescent="0.3">
      <c r="A58" s="7" t="s">
        <v>327</v>
      </c>
      <c r="B58" t="s">
        <v>336</v>
      </c>
      <c r="C58" t="s">
        <v>340</v>
      </c>
    </row>
    <row r="59" spans="1:12" x14ac:dyDescent="0.3">
      <c r="A59" s="8" t="s">
        <v>348</v>
      </c>
      <c r="B59" s="10">
        <v>3.7623076923076875</v>
      </c>
      <c r="C59" s="10">
        <v>65</v>
      </c>
    </row>
    <row r="60" spans="1:12" x14ac:dyDescent="0.3">
      <c r="A60" s="8" t="s">
        <v>349</v>
      </c>
      <c r="B60" s="10">
        <v>3.8533333333333335</v>
      </c>
      <c r="C60" s="10">
        <v>18</v>
      </c>
    </row>
    <row r="61" spans="1:12" x14ac:dyDescent="0.3">
      <c r="A61" s="8" t="s">
        <v>350</v>
      </c>
      <c r="B61" s="10">
        <v>4.1690624999999999</v>
      </c>
      <c r="C61" s="10">
        <v>32</v>
      </c>
    </row>
    <row r="62" spans="1:12" x14ac:dyDescent="0.3">
      <c r="A62" s="8" t="s">
        <v>334</v>
      </c>
      <c r="B62" s="10">
        <v>3.8897391304347777</v>
      </c>
      <c r="C62" s="10">
        <v>115</v>
      </c>
      <c r="L62" t="s">
        <v>351</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1" workbookViewId="0">
      <selection activeCell="B10" sqref="B10"/>
    </sheetView>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Excel_jumia</vt:lpstr>
      <vt:lpstr>Staging_Data</vt:lpstr>
      <vt:lpstr>Data Cleaning,Prep &amp; Enrichment</vt:lpstr>
      <vt:lpstr>Descriptive Analysis</vt:lpstr>
      <vt:lpstr>Trend &amp; Relationship Analysis</vt:lpstr>
      <vt:lpstr>Product Perfomance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modified xsi:type="dcterms:W3CDTF">2026-02-01T18:37:24Z</dcterms:modified>
</cp:coreProperties>
</file>